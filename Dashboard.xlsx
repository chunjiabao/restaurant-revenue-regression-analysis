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imailsunwayedu-my.sharepoint.com/personal/23030349_imail_sunway_edu_my/Documents/Previous/Other/Attachments/BSDA/Semester 5/Introduction to Business Intelligence and Analytics/Assignment/"/>
    </mc:Choice>
  </mc:AlternateContent>
  <xr:revisionPtr revIDLastSave="4489" documentId="8_{8480B85D-67DD-4B0D-B6F4-240F073FC71E}" xr6:coauthVersionLast="47" xr6:coauthVersionMax="47" xr10:uidLastSave="{1CF30FF3-A1E3-4F53-A39A-120375A43822}"/>
  <bookViews>
    <workbookView xWindow="28680" yWindow="-6180" windowWidth="29040" windowHeight="15720" activeTab="4" xr2:uid="{F2C5F014-A6B1-4513-9A0E-7A41C62571BF}"/>
  </bookViews>
  <sheets>
    <sheet name="rawdata" sheetId="1" r:id="rId1"/>
    <sheet name="Dashboard" sheetId="7" r:id="rId2"/>
    <sheet name="Model_1_Quantitative" sheetId="3" r:id="rId3"/>
    <sheet name="Model_2_Full" sheetId="9" r:id="rId4"/>
    <sheet name="Model_3_Improved" sheetId="5" r:id="rId5"/>
  </sheets>
  <definedNames>
    <definedName name="Slicer_location_type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5" l="1"/>
  <c r="H17" i="5" s="1"/>
  <c r="E17" i="5"/>
  <c r="H16" i="5"/>
  <c r="E16" i="5"/>
  <c r="H15" i="5"/>
  <c r="E15" i="5"/>
  <c r="H14" i="5"/>
  <c r="E14" i="5"/>
  <c r="H13" i="5"/>
  <c r="E13" i="5"/>
  <c r="H12" i="5"/>
  <c r="E12" i="5"/>
  <c r="H11" i="5"/>
  <c r="E11" i="5"/>
  <c r="H10" i="5"/>
  <c r="E10" i="5"/>
  <c r="H9" i="5"/>
  <c r="E9" i="5"/>
  <c r="H8" i="5"/>
  <c r="E8" i="5"/>
  <c r="H7" i="5"/>
  <c r="E7" i="5"/>
  <c r="H6" i="5"/>
  <c r="E6" i="5"/>
  <c r="H5" i="5"/>
  <c r="E5" i="5"/>
  <c r="H4" i="5"/>
  <c r="E4" i="5"/>
  <c r="G36" i="3"/>
  <c r="E34" i="3"/>
  <c r="E33" i="3"/>
  <c r="E32" i="3"/>
  <c r="E31" i="3"/>
  <c r="E30" i="3"/>
  <c r="E29" i="3"/>
  <c r="E28" i="3"/>
  <c r="E27" i="3"/>
  <c r="E26" i="3"/>
  <c r="E25" i="3"/>
  <c r="E24" i="3"/>
  <c r="E23" i="3"/>
  <c r="E22" i="3"/>
  <c r="E21" i="3"/>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L2" i="1"/>
  <c r="M2" i="1"/>
  <c r="N2" i="1"/>
  <c r="O2" i="1"/>
  <c r="P2" i="1"/>
  <c r="Q2" i="1"/>
  <c r="R2" i="1"/>
  <c r="S2" i="1"/>
  <c r="T2" i="1"/>
  <c r="U2" i="1"/>
  <c r="V2" i="1"/>
  <c r="L3" i="1"/>
  <c r="M3" i="1"/>
  <c r="N3" i="1"/>
  <c r="O3" i="1"/>
  <c r="P3" i="1"/>
  <c r="Q3" i="1"/>
  <c r="R3" i="1"/>
  <c r="S3" i="1"/>
  <c r="T3" i="1"/>
  <c r="U3" i="1"/>
  <c r="V3" i="1"/>
  <c r="L4" i="1"/>
  <c r="M4" i="1"/>
  <c r="N4" i="1"/>
  <c r="O4" i="1"/>
  <c r="P4" i="1"/>
  <c r="Q4" i="1"/>
  <c r="R4" i="1"/>
  <c r="S4" i="1"/>
  <c r="T4" i="1"/>
  <c r="U4" i="1"/>
  <c r="V4" i="1"/>
  <c r="L5" i="1"/>
  <c r="M5" i="1"/>
  <c r="N5" i="1"/>
  <c r="O5" i="1"/>
  <c r="P5" i="1"/>
  <c r="Q5" i="1"/>
  <c r="R5" i="1"/>
  <c r="S5" i="1"/>
  <c r="T5" i="1"/>
  <c r="U5" i="1"/>
  <c r="V5" i="1"/>
  <c r="L6" i="1"/>
  <c r="M6" i="1"/>
  <c r="N6" i="1"/>
  <c r="O6" i="1"/>
  <c r="P6" i="1"/>
  <c r="Q6" i="1"/>
  <c r="R6" i="1"/>
  <c r="S6" i="1"/>
  <c r="T6" i="1"/>
  <c r="U6" i="1"/>
  <c r="V6" i="1"/>
  <c r="L7" i="1"/>
  <c r="M7" i="1"/>
  <c r="N7" i="1"/>
  <c r="O7" i="1"/>
  <c r="P7" i="1"/>
  <c r="Q7" i="1"/>
  <c r="R7" i="1"/>
  <c r="S7" i="1"/>
  <c r="T7" i="1"/>
  <c r="U7" i="1"/>
  <c r="V7" i="1"/>
  <c r="L8" i="1"/>
  <c r="M8" i="1"/>
  <c r="N8" i="1"/>
  <c r="O8" i="1"/>
  <c r="P8" i="1"/>
  <c r="Q8" i="1"/>
  <c r="R8" i="1"/>
  <c r="S8" i="1"/>
  <c r="T8" i="1"/>
  <c r="U8" i="1"/>
  <c r="V8" i="1"/>
  <c r="L9" i="1"/>
  <c r="M9" i="1"/>
  <c r="N9" i="1"/>
  <c r="O9" i="1"/>
  <c r="P9" i="1"/>
  <c r="Q9" i="1"/>
  <c r="R9" i="1"/>
  <c r="S9" i="1"/>
  <c r="T9" i="1"/>
  <c r="U9" i="1"/>
  <c r="V9" i="1"/>
  <c r="L10" i="1"/>
  <c r="M10" i="1"/>
  <c r="N10" i="1"/>
  <c r="O10" i="1"/>
  <c r="P10" i="1"/>
  <c r="Q10" i="1"/>
  <c r="R10" i="1"/>
  <c r="S10" i="1"/>
  <c r="T10" i="1"/>
  <c r="U10" i="1"/>
  <c r="V10" i="1"/>
  <c r="L11" i="1"/>
  <c r="M11" i="1"/>
  <c r="N11" i="1"/>
  <c r="O11" i="1"/>
  <c r="P11" i="1"/>
  <c r="Q11" i="1"/>
  <c r="R11" i="1"/>
  <c r="S11" i="1"/>
  <c r="T11" i="1"/>
  <c r="U11" i="1"/>
  <c r="V11" i="1"/>
  <c r="L12" i="1"/>
  <c r="M12" i="1"/>
  <c r="N12" i="1"/>
  <c r="O12" i="1"/>
  <c r="P12" i="1"/>
  <c r="Q12" i="1"/>
  <c r="R12" i="1"/>
  <c r="S12" i="1"/>
  <c r="T12" i="1"/>
  <c r="U12" i="1"/>
  <c r="V12" i="1"/>
  <c r="L13" i="1"/>
  <c r="M13" i="1"/>
  <c r="N13" i="1"/>
  <c r="O13" i="1"/>
  <c r="P13" i="1"/>
  <c r="Q13" i="1"/>
  <c r="R13" i="1"/>
  <c r="S13" i="1"/>
  <c r="T13" i="1"/>
  <c r="U13" i="1"/>
  <c r="V13" i="1"/>
  <c r="L14" i="1"/>
  <c r="M14" i="1"/>
  <c r="N14" i="1"/>
  <c r="O14" i="1"/>
  <c r="P14" i="1"/>
  <c r="Q14" i="1"/>
  <c r="R14" i="1"/>
  <c r="S14" i="1"/>
  <c r="T14" i="1"/>
  <c r="U14" i="1"/>
  <c r="V14" i="1"/>
  <c r="L15" i="1"/>
  <c r="M15" i="1"/>
  <c r="N15" i="1"/>
  <c r="O15" i="1"/>
  <c r="P15" i="1"/>
  <c r="Q15" i="1"/>
  <c r="R15" i="1"/>
  <c r="S15" i="1"/>
  <c r="T15" i="1"/>
  <c r="U15" i="1"/>
  <c r="V15" i="1"/>
  <c r="L16" i="1"/>
  <c r="M16" i="1"/>
  <c r="N16" i="1"/>
  <c r="O16" i="1"/>
  <c r="P16" i="1"/>
  <c r="Q16" i="1"/>
  <c r="R16" i="1"/>
  <c r="S16" i="1"/>
  <c r="T16" i="1"/>
  <c r="U16" i="1"/>
  <c r="V16" i="1"/>
  <c r="L17" i="1"/>
  <c r="M17" i="1"/>
  <c r="N17" i="1"/>
  <c r="O17" i="1"/>
  <c r="P17" i="1"/>
  <c r="Q17" i="1"/>
  <c r="R17" i="1"/>
  <c r="S17" i="1"/>
  <c r="T17" i="1"/>
  <c r="U17" i="1"/>
  <c r="V17" i="1"/>
  <c r="L18" i="1"/>
  <c r="M18" i="1"/>
  <c r="N18" i="1"/>
  <c r="O18" i="1"/>
  <c r="P18" i="1"/>
  <c r="Q18" i="1"/>
  <c r="R18" i="1"/>
  <c r="S18" i="1"/>
  <c r="T18" i="1"/>
  <c r="U18" i="1"/>
  <c r="V18" i="1"/>
  <c r="L19" i="1"/>
  <c r="M19" i="1"/>
  <c r="N19" i="1"/>
  <c r="O19" i="1"/>
  <c r="P19" i="1"/>
  <c r="Q19" i="1"/>
  <c r="R19" i="1"/>
  <c r="S19" i="1"/>
  <c r="T19" i="1"/>
  <c r="U19" i="1"/>
  <c r="V19" i="1"/>
  <c r="L20" i="1"/>
  <c r="M20" i="1"/>
  <c r="N20" i="1"/>
  <c r="O20" i="1"/>
  <c r="P20" i="1"/>
  <c r="Q20" i="1"/>
  <c r="R20" i="1"/>
  <c r="S20" i="1"/>
  <c r="T20" i="1"/>
  <c r="U20" i="1"/>
  <c r="V20" i="1"/>
  <c r="L21" i="1"/>
  <c r="M21" i="1"/>
  <c r="N21" i="1"/>
  <c r="O21" i="1"/>
  <c r="P21" i="1"/>
  <c r="Q21" i="1"/>
  <c r="R21" i="1"/>
  <c r="S21" i="1"/>
  <c r="T21" i="1"/>
  <c r="U21" i="1"/>
  <c r="V21" i="1"/>
  <c r="L22" i="1"/>
  <c r="M22" i="1"/>
  <c r="N22" i="1"/>
  <c r="O22" i="1"/>
  <c r="P22" i="1"/>
  <c r="Q22" i="1"/>
  <c r="R22" i="1"/>
  <c r="S22" i="1"/>
  <c r="T22" i="1"/>
  <c r="U22" i="1"/>
  <c r="V22" i="1"/>
  <c r="L23" i="1"/>
  <c r="M23" i="1"/>
  <c r="N23" i="1"/>
  <c r="O23" i="1"/>
  <c r="P23" i="1"/>
  <c r="Q23" i="1"/>
  <c r="R23" i="1"/>
  <c r="S23" i="1"/>
  <c r="T23" i="1"/>
  <c r="U23" i="1"/>
  <c r="V23" i="1"/>
  <c r="L24" i="1"/>
  <c r="M24" i="1"/>
  <c r="N24" i="1"/>
  <c r="O24" i="1"/>
  <c r="P24" i="1"/>
  <c r="Q24" i="1"/>
  <c r="R24" i="1"/>
  <c r="S24" i="1"/>
  <c r="T24" i="1"/>
  <c r="U24" i="1"/>
  <c r="V24" i="1"/>
  <c r="L25" i="1"/>
  <c r="M25" i="1"/>
  <c r="N25" i="1"/>
  <c r="O25" i="1"/>
  <c r="P25" i="1"/>
  <c r="Q25" i="1"/>
  <c r="R25" i="1"/>
  <c r="S25" i="1"/>
  <c r="T25" i="1"/>
  <c r="U25" i="1"/>
  <c r="V25" i="1"/>
  <c r="L26" i="1"/>
  <c r="M26" i="1"/>
  <c r="N26" i="1"/>
  <c r="O26" i="1"/>
  <c r="P26" i="1"/>
  <c r="Q26" i="1"/>
  <c r="R26" i="1"/>
  <c r="S26" i="1"/>
  <c r="T26" i="1"/>
  <c r="U26" i="1"/>
  <c r="V26" i="1"/>
  <c r="L27" i="1"/>
  <c r="M27" i="1"/>
  <c r="N27" i="1"/>
  <c r="O27" i="1"/>
  <c r="P27" i="1"/>
  <c r="Q27" i="1"/>
  <c r="R27" i="1"/>
  <c r="S27" i="1"/>
  <c r="T27" i="1"/>
  <c r="U27" i="1"/>
  <c r="V27" i="1"/>
  <c r="L28" i="1"/>
  <c r="M28" i="1"/>
  <c r="N28" i="1"/>
  <c r="O28" i="1"/>
  <c r="P28" i="1"/>
  <c r="Q28" i="1"/>
  <c r="R28" i="1"/>
  <c r="S28" i="1"/>
  <c r="T28" i="1"/>
  <c r="U28" i="1"/>
  <c r="V28" i="1"/>
  <c r="L29" i="1"/>
  <c r="M29" i="1"/>
  <c r="N29" i="1"/>
  <c r="O29" i="1"/>
  <c r="P29" i="1"/>
  <c r="Q29" i="1"/>
  <c r="R29" i="1"/>
  <c r="S29" i="1"/>
  <c r="T29" i="1"/>
  <c r="U29" i="1"/>
  <c r="V29" i="1"/>
  <c r="L30" i="1"/>
  <c r="M30" i="1"/>
  <c r="N30" i="1"/>
  <c r="O30" i="1"/>
  <c r="P30" i="1"/>
  <c r="Q30" i="1"/>
  <c r="R30" i="1"/>
  <c r="S30" i="1"/>
  <c r="T30" i="1"/>
  <c r="U30" i="1"/>
  <c r="V30" i="1"/>
  <c r="L31" i="1"/>
  <c r="M31" i="1"/>
  <c r="N31" i="1"/>
  <c r="O31" i="1"/>
  <c r="P31" i="1"/>
  <c r="Q31" i="1"/>
  <c r="R31" i="1"/>
  <c r="S31" i="1"/>
  <c r="T31" i="1"/>
  <c r="U31" i="1"/>
  <c r="V31" i="1"/>
  <c r="L32" i="1"/>
  <c r="M32" i="1"/>
  <c r="N32" i="1"/>
  <c r="O32" i="1"/>
  <c r="P32" i="1"/>
  <c r="Q32" i="1"/>
  <c r="R32" i="1"/>
  <c r="S32" i="1"/>
  <c r="T32" i="1"/>
  <c r="U32" i="1"/>
  <c r="V32" i="1"/>
  <c r="L33" i="1"/>
  <c r="M33" i="1"/>
  <c r="N33" i="1"/>
  <c r="O33" i="1"/>
  <c r="P33" i="1"/>
  <c r="Q33" i="1"/>
  <c r="R33" i="1"/>
  <c r="S33" i="1"/>
  <c r="T33" i="1"/>
  <c r="U33" i="1"/>
  <c r="V33" i="1"/>
  <c r="L34" i="1"/>
  <c r="M34" i="1"/>
  <c r="N34" i="1"/>
  <c r="O34" i="1"/>
  <c r="P34" i="1"/>
  <c r="Q34" i="1"/>
  <c r="R34" i="1"/>
  <c r="S34" i="1"/>
  <c r="T34" i="1"/>
  <c r="U34" i="1"/>
  <c r="V34" i="1"/>
  <c r="L35" i="1"/>
  <c r="M35" i="1"/>
  <c r="N35" i="1"/>
  <c r="O35" i="1"/>
  <c r="P35" i="1"/>
  <c r="Q35" i="1"/>
  <c r="R35" i="1"/>
  <c r="S35" i="1"/>
  <c r="T35" i="1"/>
  <c r="U35" i="1"/>
  <c r="V35" i="1"/>
  <c r="L36" i="1"/>
  <c r="M36" i="1"/>
  <c r="N36" i="1"/>
  <c r="O36" i="1"/>
  <c r="P36" i="1"/>
  <c r="Q36" i="1"/>
  <c r="R36" i="1"/>
  <c r="S36" i="1"/>
  <c r="T36" i="1"/>
  <c r="U36" i="1"/>
  <c r="V36" i="1"/>
  <c r="L37" i="1"/>
  <c r="M37" i="1"/>
  <c r="N37" i="1"/>
  <c r="O37" i="1"/>
  <c r="P37" i="1"/>
  <c r="Q37" i="1"/>
  <c r="R37" i="1"/>
  <c r="S37" i="1"/>
  <c r="T37" i="1"/>
  <c r="U37" i="1"/>
  <c r="V37" i="1"/>
  <c r="L38" i="1"/>
  <c r="M38" i="1"/>
  <c r="N38" i="1"/>
  <c r="O38" i="1"/>
  <c r="P38" i="1"/>
  <c r="Q38" i="1"/>
  <c r="R38" i="1"/>
  <c r="S38" i="1"/>
  <c r="T38" i="1"/>
  <c r="U38" i="1"/>
  <c r="V38" i="1"/>
  <c r="L39" i="1"/>
  <c r="M39" i="1"/>
  <c r="N39" i="1"/>
  <c r="O39" i="1"/>
  <c r="P39" i="1"/>
  <c r="Q39" i="1"/>
  <c r="R39" i="1"/>
  <c r="S39" i="1"/>
  <c r="T39" i="1"/>
  <c r="U39" i="1"/>
  <c r="V39" i="1"/>
  <c r="L40" i="1"/>
  <c r="M40" i="1"/>
  <c r="N40" i="1"/>
  <c r="O40" i="1"/>
  <c r="P40" i="1"/>
  <c r="Q40" i="1"/>
  <c r="R40" i="1"/>
  <c r="S40" i="1"/>
  <c r="T40" i="1"/>
  <c r="U40" i="1"/>
  <c r="V40" i="1"/>
  <c r="L41" i="1"/>
  <c r="M41" i="1"/>
  <c r="N41" i="1"/>
  <c r="O41" i="1"/>
  <c r="P41" i="1"/>
  <c r="Q41" i="1"/>
  <c r="R41" i="1"/>
  <c r="S41" i="1"/>
  <c r="T41" i="1"/>
  <c r="U41" i="1"/>
  <c r="V41" i="1"/>
  <c r="L42" i="1"/>
  <c r="M42" i="1"/>
  <c r="N42" i="1"/>
  <c r="O42" i="1"/>
  <c r="P42" i="1"/>
  <c r="Q42" i="1"/>
  <c r="R42" i="1"/>
  <c r="S42" i="1"/>
  <c r="T42" i="1"/>
  <c r="U42" i="1"/>
  <c r="V42" i="1"/>
  <c r="L43" i="1"/>
  <c r="M43" i="1"/>
  <c r="N43" i="1"/>
  <c r="O43" i="1"/>
  <c r="P43" i="1"/>
  <c r="Q43" i="1"/>
  <c r="R43" i="1"/>
  <c r="S43" i="1"/>
  <c r="T43" i="1"/>
  <c r="U43" i="1"/>
  <c r="V43" i="1"/>
  <c r="L44" i="1"/>
  <c r="M44" i="1"/>
  <c r="N44" i="1"/>
  <c r="O44" i="1"/>
  <c r="P44" i="1"/>
  <c r="Q44" i="1"/>
  <c r="R44" i="1"/>
  <c r="S44" i="1"/>
  <c r="T44" i="1"/>
  <c r="U44" i="1"/>
  <c r="V44" i="1"/>
  <c r="L45" i="1"/>
  <c r="M45" i="1"/>
  <c r="N45" i="1"/>
  <c r="O45" i="1"/>
  <c r="P45" i="1"/>
  <c r="Q45" i="1"/>
  <c r="R45" i="1"/>
  <c r="S45" i="1"/>
  <c r="T45" i="1"/>
  <c r="U45" i="1"/>
  <c r="V45" i="1"/>
  <c r="L46" i="1"/>
  <c r="M46" i="1"/>
  <c r="N46" i="1"/>
  <c r="O46" i="1"/>
  <c r="P46" i="1"/>
  <c r="Q46" i="1"/>
  <c r="R46" i="1"/>
  <c r="S46" i="1"/>
  <c r="T46" i="1"/>
  <c r="U46" i="1"/>
  <c r="V46" i="1"/>
  <c r="L47" i="1"/>
  <c r="M47" i="1"/>
  <c r="N47" i="1"/>
  <c r="O47" i="1"/>
  <c r="P47" i="1"/>
  <c r="Q47" i="1"/>
  <c r="R47" i="1"/>
  <c r="S47" i="1"/>
  <c r="T47" i="1"/>
  <c r="U47" i="1"/>
  <c r="V47" i="1"/>
  <c r="L48" i="1"/>
  <c r="M48" i="1"/>
  <c r="N48" i="1"/>
  <c r="O48" i="1"/>
  <c r="P48" i="1"/>
  <c r="Q48" i="1"/>
  <c r="R48" i="1"/>
  <c r="S48" i="1"/>
  <c r="T48" i="1"/>
  <c r="U48" i="1"/>
  <c r="V48" i="1"/>
  <c r="L49" i="1"/>
  <c r="M49" i="1"/>
  <c r="N49" i="1"/>
  <c r="O49" i="1"/>
  <c r="P49" i="1"/>
  <c r="Q49" i="1"/>
  <c r="R49" i="1"/>
  <c r="S49" i="1"/>
  <c r="T49" i="1"/>
  <c r="U49" i="1"/>
  <c r="V49" i="1"/>
  <c r="L50" i="1"/>
  <c r="M50" i="1"/>
  <c r="N50" i="1"/>
  <c r="O50" i="1"/>
  <c r="P50" i="1"/>
  <c r="Q50" i="1"/>
  <c r="R50" i="1"/>
  <c r="S50" i="1"/>
  <c r="T50" i="1"/>
  <c r="U50" i="1"/>
  <c r="V50" i="1"/>
  <c r="L51" i="1"/>
  <c r="M51" i="1"/>
  <c r="N51" i="1"/>
  <c r="O51" i="1"/>
  <c r="P51" i="1"/>
  <c r="Q51" i="1"/>
  <c r="R51" i="1"/>
  <c r="S51" i="1"/>
  <c r="T51" i="1"/>
  <c r="U51" i="1"/>
  <c r="V51" i="1"/>
  <c r="L52" i="1"/>
  <c r="M52" i="1"/>
  <c r="N52" i="1"/>
  <c r="O52" i="1"/>
  <c r="P52" i="1"/>
  <c r="Q52" i="1"/>
  <c r="R52" i="1"/>
  <c r="S52" i="1"/>
  <c r="T52" i="1"/>
  <c r="U52" i="1"/>
  <c r="V52" i="1"/>
  <c r="L53" i="1"/>
  <c r="M53" i="1"/>
  <c r="N53" i="1"/>
  <c r="O53" i="1"/>
  <c r="P53" i="1"/>
  <c r="Q53" i="1"/>
  <c r="R53" i="1"/>
  <c r="S53" i="1"/>
  <c r="T53" i="1"/>
  <c r="U53" i="1"/>
  <c r="V53" i="1"/>
  <c r="L54" i="1"/>
  <c r="M54" i="1"/>
  <c r="N54" i="1"/>
  <c r="O54" i="1"/>
  <c r="P54" i="1"/>
  <c r="Q54" i="1"/>
  <c r="R54" i="1"/>
  <c r="S54" i="1"/>
  <c r="T54" i="1"/>
  <c r="U54" i="1"/>
  <c r="V54" i="1"/>
  <c r="L55" i="1"/>
  <c r="M55" i="1"/>
  <c r="N55" i="1"/>
  <c r="O55" i="1"/>
  <c r="P55" i="1"/>
  <c r="Q55" i="1"/>
  <c r="R55" i="1"/>
  <c r="S55" i="1"/>
  <c r="T55" i="1"/>
  <c r="U55" i="1"/>
  <c r="V55" i="1"/>
  <c r="L56" i="1"/>
  <c r="M56" i="1"/>
  <c r="N56" i="1"/>
  <c r="O56" i="1"/>
  <c r="P56" i="1"/>
  <c r="Q56" i="1"/>
  <c r="R56" i="1"/>
  <c r="S56" i="1"/>
  <c r="T56" i="1"/>
  <c r="U56" i="1"/>
  <c r="V56" i="1"/>
  <c r="L57" i="1"/>
  <c r="M57" i="1"/>
  <c r="N57" i="1"/>
  <c r="O57" i="1"/>
  <c r="P57" i="1"/>
  <c r="Q57" i="1"/>
  <c r="R57" i="1"/>
  <c r="S57" i="1"/>
  <c r="T57" i="1"/>
  <c r="U57" i="1"/>
  <c r="V57" i="1"/>
  <c r="L58" i="1"/>
  <c r="M58" i="1"/>
  <c r="N58" i="1"/>
  <c r="O58" i="1"/>
  <c r="P58" i="1"/>
  <c r="Q58" i="1"/>
  <c r="R58" i="1"/>
  <c r="S58" i="1"/>
  <c r="T58" i="1"/>
  <c r="U58" i="1"/>
  <c r="V58" i="1"/>
  <c r="L59" i="1"/>
  <c r="M59" i="1"/>
  <c r="N59" i="1"/>
  <c r="O59" i="1"/>
  <c r="P59" i="1"/>
  <c r="Q59" i="1"/>
  <c r="R59" i="1"/>
  <c r="S59" i="1"/>
  <c r="T59" i="1"/>
  <c r="U59" i="1"/>
  <c r="V59" i="1"/>
  <c r="L60" i="1"/>
  <c r="M60" i="1"/>
  <c r="N60" i="1"/>
  <c r="O60" i="1"/>
  <c r="P60" i="1"/>
  <c r="Q60" i="1"/>
  <c r="R60" i="1"/>
  <c r="S60" i="1"/>
  <c r="T60" i="1"/>
  <c r="U60" i="1"/>
  <c r="V60" i="1"/>
  <c r="L61" i="1"/>
  <c r="M61" i="1"/>
  <c r="N61" i="1"/>
  <c r="O61" i="1"/>
  <c r="P61" i="1"/>
  <c r="Q61" i="1"/>
  <c r="R61" i="1"/>
  <c r="S61" i="1"/>
  <c r="T61" i="1"/>
  <c r="U61" i="1"/>
  <c r="V61" i="1"/>
  <c r="L62" i="1"/>
  <c r="M62" i="1"/>
  <c r="N62" i="1"/>
  <c r="O62" i="1"/>
  <c r="P62" i="1"/>
  <c r="Q62" i="1"/>
  <c r="R62" i="1"/>
  <c r="S62" i="1"/>
  <c r="T62" i="1"/>
  <c r="U62" i="1"/>
  <c r="V62" i="1"/>
  <c r="L63" i="1"/>
  <c r="M63" i="1"/>
  <c r="N63" i="1"/>
  <c r="O63" i="1"/>
  <c r="P63" i="1"/>
  <c r="Q63" i="1"/>
  <c r="R63" i="1"/>
  <c r="S63" i="1"/>
  <c r="T63" i="1"/>
  <c r="U63" i="1"/>
  <c r="V63" i="1"/>
  <c r="L64" i="1"/>
  <c r="M64" i="1"/>
  <c r="N64" i="1"/>
  <c r="O64" i="1"/>
  <c r="P64" i="1"/>
  <c r="Q64" i="1"/>
  <c r="R64" i="1"/>
  <c r="S64" i="1"/>
  <c r="T64" i="1"/>
  <c r="U64" i="1"/>
  <c r="V64" i="1"/>
  <c r="L65" i="1"/>
  <c r="M65" i="1"/>
  <c r="N65" i="1"/>
  <c r="O65" i="1"/>
  <c r="P65" i="1"/>
  <c r="Q65" i="1"/>
  <c r="R65" i="1"/>
  <c r="S65" i="1"/>
  <c r="T65" i="1"/>
  <c r="U65" i="1"/>
  <c r="V65" i="1"/>
  <c r="L66" i="1"/>
  <c r="M66" i="1"/>
  <c r="N66" i="1"/>
  <c r="O66" i="1"/>
  <c r="P66" i="1"/>
  <c r="Q66" i="1"/>
  <c r="R66" i="1"/>
  <c r="S66" i="1"/>
  <c r="T66" i="1"/>
  <c r="U66" i="1"/>
  <c r="V66" i="1"/>
  <c r="L67" i="1"/>
  <c r="M67" i="1"/>
  <c r="N67" i="1"/>
  <c r="O67" i="1"/>
  <c r="P67" i="1"/>
  <c r="Q67" i="1"/>
  <c r="R67" i="1"/>
  <c r="S67" i="1"/>
  <c r="T67" i="1"/>
  <c r="U67" i="1"/>
  <c r="V67" i="1"/>
  <c r="L68" i="1"/>
  <c r="M68" i="1"/>
  <c r="N68" i="1"/>
  <c r="O68" i="1"/>
  <c r="P68" i="1"/>
  <c r="Q68" i="1"/>
  <c r="R68" i="1"/>
  <c r="S68" i="1"/>
  <c r="T68" i="1"/>
  <c r="U68" i="1"/>
  <c r="V68" i="1"/>
  <c r="L69" i="1"/>
  <c r="M69" i="1"/>
  <c r="N69" i="1"/>
  <c r="O69" i="1"/>
  <c r="P69" i="1"/>
  <c r="Q69" i="1"/>
  <c r="R69" i="1"/>
  <c r="S69" i="1"/>
  <c r="T69" i="1"/>
  <c r="U69" i="1"/>
  <c r="V69" i="1"/>
  <c r="L70" i="1"/>
  <c r="M70" i="1"/>
  <c r="N70" i="1"/>
  <c r="O70" i="1"/>
  <c r="P70" i="1"/>
  <c r="Q70" i="1"/>
  <c r="R70" i="1"/>
  <c r="S70" i="1"/>
  <c r="T70" i="1"/>
  <c r="U70" i="1"/>
  <c r="V70" i="1"/>
  <c r="L71" i="1"/>
  <c r="M71" i="1"/>
  <c r="N71" i="1"/>
  <c r="O71" i="1"/>
  <c r="P71" i="1"/>
  <c r="Q71" i="1"/>
  <c r="R71" i="1"/>
  <c r="S71" i="1"/>
  <c r="T71" i="1"/>
  <c r="U71" i="1"/>
  <c r="V71" i="1"/>
  <c r="L72" i="1"/>
  <c r="M72" i="1"/>
  <c r="N72" i="1"/>
  <c r="O72" i="1"/>
  <c r="P72" i="1"/>
  <c r="Q72" i="1"/>
  <c r="R72" i="1"/>
  <c r="S72" i="1"/>
  <c r="T72" i="1"/>
  <c r="U72" i="1"/>
  <c r="V72" i="1"/>
  <c r="L73" i="1"/>
  <c r="M73" i="1"/>
  <c r="N73" i="1"/>
  <c r="O73" i="1"/>
  <c r="P73" i="1"/>
  <c r="Q73" i="1"/>
  <c r="R73" i="1"/>
  <c r="S73" i="1"/>
  <c r="T73" i="1"/>
  <c r="U73" i="1"/>
  <c r="V73" i="1"/>
  <c r="L74" i="1"/>
  <c r="M74" i="1"/>
  <c r="N74" i="1"/>
  <c r="O74" i="1"/>
  <c r="P74" i="1"/>
  <c r="Q74" i="1"/>
  <c r="R74" i="1"/>
  <c r="S74" i="1"/>
  <c r="T74" i="1"/>
  <c r="U74" i="1"/>
  <c r="V74" i="1"/>
  <c r="L75" i="1"/>
  <c r="M75" i="1"/>
  <c r="N75" i="1"/>
  <c r="O75" i="1"/>
  <c r="P75" i="1"/>
  <c r="Q75" i="1"/>
  <c r="R75" i="1"/>
  <c r="S75" i="1"/>
  <c r="T75" i="1"/>
  <c r="U75" i="1"/>
  <c r="V75" i="1"/>
  <c r="L76" i="1"/>
  <c r="M76" i="1"/>
  <c r="N76" i="1"/>
  <c r="O76" i="1"/>
  <c r="P76" i="1"/>
  <c r="Q76" i="1"/>
  <c r="R76" i="1"/>
  <c r="S76" i="1"/>
  <c r="T76" i="1"/>
  <c r="U76" i="1"/>
  <c r="V76" i="1"/>
  <c r="L77" i="1"/>
  <c r="M77" i="1"/>
  <c r="N77" i="1"/>
  <c r="O77" i="1"/>
  <c r="P77" i="1"/>
  <c r="Q77" i="1"/>
  <c r="R77" i="1"/>
  <c r="S77" i="1"/>
  <c r="T77" i="1"/>
  <c r="U77" i="1"/>
  <c r="V77" i="1"/>
  <c r="L78" i="1"/>
  <c r="M78" i="1"/>
  <c r="N78" i="1"/>
  <c r="O78" i="1"/>
  <c r="P78" i="1"/>
  <c r="Q78" i="1"/>
  <c r="R78" i="1"/>
  <c r="S78" i="1"/>
  <c r="T78" i="1"/>
  <c r="U78" i="1"/>
  <c r="V78" i="1"/>
  <c r="L79" i="1"/>
  <c r="M79" i="1"/>
  <c r="N79" i="1"/>
  <c r="O79" i="1"/>
  <c r="P79" i="1"/>
  <c r="Q79" i="1"/>
  <c r="R79" i="1"/>
  <c r="S79" i="1"/>
  <c r="T79" i="1"/>
  <c r="U79" i="1"/>
  <c r="V79" i="1"/>
  <c r="L80" i="1"/>
  <c r="M80" i="1"/>
  <c r="N80" i="1"/>
  <c r="O80" i="1"/>
  <c r="P80" i="1"/>
  <c r="Q80" i="1"/>
  <c r="R80" i="1"/>
  <c r="S80" i="1"/>
  <c r="T80" i="1"/>
  <c r="U80" i="1"/>
  <c r="V80" i="1"/>
  <c r="L81" i="1"/>
  <c r="M81" i="1"/>
  <c r="N81" i="1"/>
  <c r="O81" i="1"/>
  <c r="P81" i="1"/>
  <c r="Q81" i="1"/>
  <c r="R81" i="1"/>
  <c r="S81" i="1"/>
  <c r="T81" i="1"/>
  <c r="U81" i="1"/>
  <c r="V81" i="1"/>
  <c r="L82" i="1"/>
  <c r="M82" i="1"/>
  <c r="N82" i="1"/>
  <c r="O82" i="1"/>
  <c r="P82" i="1"/>
  <c r="Q82" i="1"/>
  <c r="R82" i="1"/>
  <c r="S82" i="1"/>
  <c r="T82" i="1"/>
  <c r="U82" i="1"/>
  <c r="V82" i="1"/>
  <c r="L83" i="1"/>
  <c r="M83" i="1"/>
  <c r="N83" i="1"/>
  <c r="O83" i="1"/>
  <c r="P83" i="1"/>
  <c r="Q83" i="1"/>
  <c r="R83" i="1"/>
  <c r="S83" i="1"/>
  <c r="T83" i="1"/>
  <c r="U83" i="1"/>
  <c r="V83" i="1"/>
  <c r="L84" i="1"/>
  <c r="M84" i="1"/>
  <c r="N84" i="1"/>
  <c r="O84" i="1"/>
  <c r="P84" i="1"/>
  <c r="Q84" i="1"/>
  <c r="R84" i="1"/>
  <c r="S84" i="1"/>
  <c r="T84" i="1"/>
  <c r="U84" i="1"/>
  <c r="V84" i="1"/>
  <c r="L85" i="1"/>
  <c r="M85" i="1"/>
  <c r="N85" i="1"/>
  <c r="O85" i="1"/>
  <c r="P85" i="1"/>
  <c r="Q85" i="1"/>
  <c r="R85" i="1"/>
  <c r="S85" i="1"/>
  <c r="T85" i="1"/>
  <c r="U85" i="1"/>
  <c r="V85" i="1"/>
  <c r="L86" i="1"/>
  <c r="M86" i="1"/>
  <c r="N86" i="1"/>
  <c r="O86" i="1"/>
  <c r="P86" i="1"/>
  <c r="Q86" i="1"/>
  <c r="R86" i="1"/>
  <c r="S86" i="1"/>
  <c r="T86" i="1"/>
  <c r="U86" i="1"/>
  <c r="V86" i="1"/>
  <c r="L87" i="1"/>
  <c r="M87" i="1"/>
  <c r="N87" i="1"/>
  <c r="O87" i="1"/>
  <c r="P87" i="1"/>
  <c r="Q87" i="1"/>
  <c r="R87" i="1"/>
  <c r="S87" i="1"/>
  <c r="T87" i="1"/>
  <c r="U87" i="1"/>
  <c r="V87" i="1"/>
  <c r="L88" i="1"/>
  <c r="M88" i="1"/>
  <c r="N88" i="1"/>
  <c r="O88" i="1"/>
  <c r="P88" i="1"/>
  <c r="Q88" i="1"/>
  <c r="R88" i="1"/>
  <c r="S88" i="1"/>
  <c r="T88" i="1"/>
  <c r="U88" i="1"/>
  <c r="V88" i="1"/>
  <c r="L89" i="1"/>
  <c r="M89" i="1"/>
  <c r="N89" i="1"/>
  <c r="O89" i="1"/>
  <c r="P89" i="1"/>
  <c r="Q89" i="1"/>
  <c r="R89" i="1"/>
  <c r="S89" i="1"/>
  <c r="T89" i="1"/>
  <c r="U89" i="1"/>
  <c r="V89" i="1"/>
  <c r="L90" i="1"/>
  <c r="M90" i="1"/>
  <c r="N90" i="1"/>
  <c r="O90" i="1"/>
  <c r="P90" i="1"/>
  <c r="Q90" i="1"/>
  <c r="R90" i="1"/>
  <c r="S90" i="1"/>
  <c r="T90" i="1"/>
  <c r="U90" i="1"/>
  <c r="V90" i="1"/>
  <c r="L91" i="1"/>
  <c r="M91" i="1"/>
  <c r="N91" i="1"/>
  <c r="O91" i="1"/>
  <c r="P91" i="1"/>
  <c r="Q91" i="1"/>
  <c r="R91" i="1"/>
  <c r="S91" i="1"/>
  <c r="T91" i="1"/>
  <c r="U91" i="1"/>
  <c r="V91" i="1"/>
  <c r="L92" i="1"/>
  <c r="M92" i="1"/>
  <c r="N92" i="1"/>
  <c r="O92" i="1"/>
  <c r="P92" i="1"/>
  <c r="Q92" i="1"/>
  <c r="R92" i="1"/>
  <c r="S92" i="1"/>
  <c r="T92" i="1"/>
  <c r="U92" i="1"/>
  <c r="V92" i="1"/>
  <c r="L93" i="1"/>
  <c r="M93" i="1"/>
  <c r="N93" i="1"/>
  <c r="O93" i="1"/>
  <c r="P93" i="1"/>
  <c r="Q93" i="1"/>
  <c r="R93" i="1"/>
  <c r="S93" i="1"/>
  <c r="T93" i="1"/>
  <c r="U93" i="1"/>
  <c r="V93" i="1"/>
  <c r="L94" i="1"/>
  <c r="M94" i="1"/>
  <c r="N94" i="1"/>
  <c r="O94" i="1"/>
  <c r="P94" i="1"/>
  <c r="Q94" i="1"/>
  <c r="R94" i="1"/>
  <c r="S94" i="1"/>
  <c r="T94" i="1"/>
  <c r="U94" i="1"/>
  <c r="V94" i="1"/>
  <c r="L95" i="1"/>
  <c r="M95" i="1"/>
  <c r="N95" i="1"/>
  <c r="O95" i="1"/>
  <c r="P95" i="1"/>
  <c r="Q95" i="1"/>
  <c r="R95" i="1"/>
  <c r="S95" i="1"/>
  <c r="T95" i="1"/>
  <c r="U95" i="1"/>
  <c r="V95" i="1"/>
  <c r="L96" i="1"/>
  <c r="M96" i="1"/>
  <c r="N96" i="1"/>
  <c r="O96" i="1"/>
  <c r="P96" i="1"/>
  <c r="Q96" i="1"/>
  <c r="R96" i="1"/>
  <c r="S96" i="1"/>
  <c r="T96" i="1"/>
  <c r="U96" i="1"/>
  <c r="V96" i="1"/>
  <c r="L97" i="1"/>
  <c r="M97" i="1"/>
  <c r="N97" i="1"/>
  <c r="O97" i="1"/>
  <c r="P97" i="1"/>
  <c r="Q97" i="1"/>
  <c r="R97" i="1"/>
  <c r="S97" i="1"/>
  <c r="T97" i="1"/>
  <c r="U97" i="1"/>
  <c r="V97" i="1"/>
  <c r="L98" i="1"/>
  <c r="M98" i="1"/>
  <c r="N98" i="1"/>
  <c r="O98" i="1"/>
  <c r="P98" i="1"/>
  <c r="Q98" i="1"/>
  <c r="R98" i="1"/>
  <c r="S98" i="1"/>
  <c r="T98" i="1"/>
  <c r="U98" i="1"/>
  <c r="V98" i="1"/>
  <c r="L99" i="1"/>
  <c r="M99" i="1"/>
  <c r="N99" i="1"/>
  <c r="O99" i="1"/>
  <c r="P99" i="1"/>
  <c r="Q99" i="1"/>
  <c r="R99" i="1"/>
  <c r="S99" i="1"/>
  <c r="T99" i="1"/>
  <c r="U99" i="1"/>
  <c r="V99" i="1"/>
  <c r="L100" i="1"/>
  <c r="M100" i="1"/>
  <c r="N100" i="1"/>
  <c r="O100" i="1"/>
  <c r="P100" i="1"/>
  <c r="Q100" i="1"/>
  <c r="R100" i="1"/>
  <c r="S100" i="1"/>
  <c r="T100" i="1"/>
  <c r="U100" i="1"/>
  <c r="V100" i="1"/>
  <c r="L101" i="1"/>
  <c r="M101" i="1"/>
  <c r="N101" i="1"/>
  <c r="O101" i="1"/>
  <c r="P101" i="1"/>
  <c r="Q101" i="1"/>
  <c r="R101" i="1"/>
  <c r="S101" i="1"/>
  <c r="T101" i="1"/>
  <c r="U101" i="1"/>
  <c r="V101" i="1"/>
  <c r="H29" i="3" l="1"/>
  <c r="H24" i="3"/>
  <c r="H23" i="3"/>
  <c r="H22" i="3"/>
  <c r="H31" i="3"/>
  <c r="H30" i="3"/>
  <c r="H28" i="3"/>
  <c r="H27" i="3"/>
  <c r="H26" i="3"/>
  <c r="H25" i="3"/>
  <c r="H21" i="3"/>
  <c r="H36" i="3" s="1"/>
  <c r="H32" i="3"/>
  <c r="H19" i="5"/>
  <c r="H34" i="3"/>
  <c r="H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78416A-F7DE-4D80-8EA5-C211A6E493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<sst xmlns="http://schemas.openxmlformats.org/spreadsheetml/2006/main" count="835" uniqueCount="119">
  <si>
    <t>monthly_revenue</t>
  </si>
  <si>
    <t>location_type</t>
  </si>
  <si>
    <t>cuisine_type</t>
  </si>
  <si>
    <t>restaurant_size</t>
  </si>
  <si>
    <t>has_parking</t>
  </si>
  <si>
    <t>has_delivery</t>
  </si>
  <si>
    <t>seating_capacity</t>
  </si>
  <si>
    <t>avg_meal_price</t>
  </si>
  <si>
    <t>years_in_business</t>
  </si>
  <si>
    <t>staff_count</t>
  </si>
  <si>
    <t>marketing_spend</t>
  </si>
  <si>
    <t>customer_rating</t>
  </si>
  <si>
    <t>Strip_Mall</t>
  </si>
  <si>
    <t>Asian</t>
  </si>
  <si>
    <t>Large</t>
  </si>
  <si>
    <t>Yes</t>
  </si>
  <si>
    <t>American</t>
  </si>
  <si>
    <t>Small</t>
  </si>
  <si>
    <t>Suburban</t>
  </si>
  <si>
    <t>No</t>
  </si>
  <si>
    <t>Italian</t>
  </si>
  <si>
    <t>Mall</t>
  </si>
  <si>
    <t>Mexican</t>
  </si>
  <si>
    <t>Medium</t>
  </si>
  <si>
    <t>Downtown</t>
  </si>
  <si>
    <t>Fast_Food</t>
  </si>
  <si>
    <t>Mean</t>
  </si>
  <si>
    <t>Standard Error</t>
  </si>
  <si>
    <t>Median</t>
  </si>
  <si>
    <t>Mode</t>
  </si>
  <si>
    <t>Standard Deviation</t>
  </si>
  <si>
    <t>Sample Variance</t>
  </si>
  <si>
    <t>Kurtosis</t>
  </si>
  <si>
    <t>Skewness</t>
  </si>
  <si>
    <t>Range</t>
  </si>
  <si>
    <t>Minimum</t>
  </si>
  <si>
    <t>Maximum</t>
  </si>
  <si>
    <t>Sum</t>
  </si>
  <si>
    <t>Count</t>
  </si>
  <si>
    <t>Bin</t>
  </si>
  <si>
    <t>More</t>
  </si>
  <si>
    <t>Frequency</t>
  </si>
  <si>
    <t>Interval</t>
  </si>
  <si>
    <t>Total</t>
  </si>
  <si>
    <t>%</t>
  </si>
  <si>
    <t>Correlation  Matrix</t>
  </si>
  <si>
    <t>SUMMARY OUTPUT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</si>
  <si>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</si>
  <si>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</si>
  <si>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</si>
  <si>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</si>
  <si>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</si>
  <si>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</si>
  <si>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</si>
  <si>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</si>
  <si>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</si>
  <si>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</si>
  <si>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</si>
  <si>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</si>
  <si>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</si>
  <si>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</si>
  <si>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</si>
  <si>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</si>
  <si>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</si>
  <si>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</si>
  <si>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</si>
  <si>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</si>
  <si>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</si>
  <si>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RESIDUAL OUTPUT</t>
  </si>
  <si>
    <t>Observation</t>
  </si>
  <si>
    <t>Predicted monthly_revenue</t>
  </si>
  <si>
    <t>Residuals</t>
  </si>
  <si>
    <t>Standard Residuals</t>
  </si>
  <si>
    <t>location_type_Strip_Mall</t>
  </si>
  <si>
    <t>location_type_Mall</t>
  </si>
  <si>
    <t>location_type_Downtown</t>
  </si>
  <si>
    <t>cuisine_type_Asian</t>
  </si>
  <si>
    <t>cuisine_type_American</t>
  </si>
  <si>
    <t>cuisine_type_Italian</t>
  </si>
  <si>
    <t>cuisine_type_Mexican</t>
  </si>
  <si>
    <t>restaurant_size_Small</t>
  </si>
  <si>
    <t>restaurant_size_Medium</t>
  </si>
  <si>
    <t>has_parking_Yes</t>
  </si>
  <si>
    <t>has_delivery_Yes</t>
  </si>
  <si>
    <t>ln(monthly_revenue)</t>
  </si>
  <si>
    <t>Predicted ln(monthly_revenue)</t>
  </si>
  <si>
    <t>How to compare models qualitatively, when comparing with without log trans</t>
  </si>
  <si>
    <t>1. residual plots: random scater, constant variance (homoscedasticity), The model with cleaner residuals is generally more reliable.</t>
  </si>
  <si>
    <t>2. significant of coeffi: Model with more significant variables may be preferable</t>
  </si>
  <si>
    <t>3. Standard errors: Lower standard errors → more precise estimates</t>
  </si>
  <si>
    <t>Restaurant Revenue Dashboard</t>
  </si>
  <si>
    <t>Sum of monthly_revenue</t>
  </si>
  <si>
    <t>Row Labels</t>
  </si>
  <si>
    <t>Grand Total</t>
  </si>
  <si>
    <t>Step 1</t>
  </si>
  <si>
    <t>Step 1.1</t>
  </si>
  <si>
    <t>EDA Analysis for Quantitative data independent variables</t>
  </si>
  <si>
    <t>Step 1.2</t>
  </si>
  <si>
    <t>EDA Analysis for dependent variables</t>
  </si>
  <si>
    <t>Step 2</t>
  </si>
  <si>
    <t xml:space="preserve">Construct multiple linear regression model that includes all quantitative variables </t>
  </si>
  <si>
    <t>Step 3</t>
  </si>
  <si>
    <t>Create a Correlation Matrix to identify the relationship between variables</t>
  </si>
  <si>
    <t>Convert Qualitative data into "Dummy Variables", (Converted in rawdata Sheets)</t>
  </si>
  <si>
    <t>Key Findings:</t>
  </si>
  <si>
    <r>
      <t xml:space="preserve">seating_capacity </t>
    </r>
    <r>
      <rPr>
        <b/>
        <sz val="11"/>
        <color theme="1"/>
        <rFont val="Aptos Narrow"/>
        <family val="2"/>
        <scheme val="minor"/>
      </rPr>
      <t>contains 0</t>
    </r>
    <r>
      <rPr>
        <sz val="11"/>
        <color theme="1"/>
        <rFont val="Aptos Narrow"/>
        <family val="2"/>
        <scheme val="minor"/>
      </rPr>
      <t xml:space="preserve"> in the confidence interval, hence it is not statistically significant</t>
    </r>
  </si>
  <si>
    <r>
      <rPr>
        <b/>
        <sz val="11"/>
        <color theme="1"/>
        <rFont val="Aptos Narrow"/>
        <family val="2"/>
        <scheme val="minor"/>
      </rPr>
      <t>seating_capacity</t>
    </r>
    <r>
      <rPr>
        <sz val="11"/>
        <color theme="1"/>
        <rFont val="Aptos Narrow"/>
        <family val="2"/>
        <scheme val="minor"/>
      </rPr>
      <t xml:space="preserve"> is removed in Model 2</t>
    </r>
  </si>
  <si>
    <t>Construct multiple linear regression model that includes all quantitative variables and qualitative variables (Excluding seating_capacity)</t>
  </si>
  <si>
    <r>
      <rPr>
        <b/>
        <sz val="11"/>
        <color theme="1"/>
        <rFont val="Aptos Narrow"/>
        <family val="2"/>
        <scheme val="minor"/>
      </rPr>
      <t>seating_capacity and staff_count</t>
    </r>
    <r>
      <rPr>
        <sz val="11"/>
        <color theme="1"/>
        <rFont val="Aptos Narrow"/>
        <family val="2"/>
        <scheme val="minor"/>
      </rPr>
      <t xml:space="preserve"> have high correlation (0.7776), either one of it needs to be removed as Excel’s limit on how many variables can be included</t>
    </r>
  </si>
  <si>
    <t>Convert dependent variables using log transformation</t>
  </si>
  <si>
    <t>Step 2.1</t>
  </si>
  <si>
    <t>Exclude seating_capacity in Model 3 because of high correlation with  staff_count</t>
  </si>
  <si>
    <t>Step 2.2</t>
  </si>
  <si>
    <r>
      <rPr>
        <b/>
        <sz val="11"/>
        <color theme="1"/>
        <rFont val="Aptos Narrow"/>
        <family val="2"/>
        <scheme val="minor"/>
      </rPr>
      <t>cuisine_type_Italian</t>
    </r>
    <r>
      <rPr>
        <sz val="11"/>
        <color theme="1"/>
        <rFont val="Aptos Narrow"/>
        <family val="2"/>
        <scheme val="minor"/>
      </rPr>
      <t xml:space="preserve"> and</t>
    </r>
    <r>
      <rPr>
        <b/>
        <sz val="11"/>
        <color theme="1"/>
        <rFont val="Aptos Narrow"/>
        <family val="2"/>
        <scheme val="minor"/>
      </rPr>
      <t xml:space="preserve"> has_parking_Yes</t>
    </r>
    <r>
      <rPr>
        <sz val="11"/>
        <color theme="1"/>
        <rFont val="Aptos Narrow"/>
        <family val="2"/>
        <scheme val="minor"/>
      </rPr>
      <t xml:space="preserve"> is removed </t>
    </r>
  </si>
  <si>
    <t>Construct multiple linear regression model with ln(monthly_revenue) as dependant variable</t>
  </si>
  <si>
    <t>Remove all variables that is not statistically significant in Model 2</t>
  </si>
  <si>
    <t xml:space="preserve">Column Chart </t>
  </si>
  <si>
    <t>ZW</t>
  </si>
  <si>
    <t>Residual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</si>
</sst>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family val="2"/>
    </font>
    <font>
      <b/>
      <sz val="16"/>
      <color theme="1"/>
      <name val="Aptos Narrow"/>
      <family val="2"/>
      <scheme val="minor"/>
    </font>
    <font>
      <b/>
      <sz val="48"/>
      <color theme="1" tint="0.14999847407452621"/>
      <name val="Aptos Narrow"/>
      <family val="2"/>
      <scheme val="minor"/>
    </font>
  </fonts>
  <fills count="3">
    <fill>
      <patternFill patternType="none"/>
    </fill>
    <fill>
      <patternFill patternType="gray125"/>
    </fill>
    <fill>
      <patternFill patternType="solid">
        <fgColor theme="3" tint="0.74999237037263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1" xfId="0" applyBorder="1"/>
    <xf numFmtId="0" fontId="3" fillId="0" borderId="2" xfId="0" applyFont="1" applyBorder="1" applyAlignment="1">
      <alignment horizontal="center"/>
    </xf>
    <xf numFmtId="0" fontId="3" fillId="0" borderId="2" xfId="0" applyFont="1" applyBorder="1" applyAlignment="1">
      <alignment horizontal="left"/>
    </xf>
    <xf numFmtId="0" fontId="0" fillId="0" borderId="0" xfId="0" applyAlignment="1">
      <alignment horizontal="left"/>
    </xf>
    <xf numFmtId="0" fontId="0" fillId="0" borderId="1" xfId="0" applyBorder="1" applyAlignment="1">
      <alignment horizontal="left"/>
    </xf>
    <xf numFmtId="9" fontId="0" fillId="0" borderId="0" xfId="1" applyFont="1" applyAlignment="1">
      <alignment horizontal="left"/>
    </xf>
    <xf numFmtId="0" fontId="2" fillId="0" borderId="0" xfId="0" applyFont="1" applyAlignment="1">
      <alignment horizontal="left"/>
    </xf>
    <xf numFmtId="0" fontId="3" fillId="0" borderId="2" xfId="0" applyFont="1" applyBorder="1" applyAlignment="1">
      <alignment horizontal="centerContinuous"/>
    </xf>
    <xf numFmtId="0" fontId="4" fillId="0" borderId="0" xfId="0" applyFont="1"/>
    <xf numFmtId="0" fontId="5" fillId="0" borderId="0" xfId="0" applyFont="1"/>
    <xf numFmtId="0" fontId="0" fillId="0" borderId="0" xfId="0" pivotButton="1"/>
    <xf numFmtId="0" fontId="0" fillId="0" borderId="0" xfId="0" applyAlignment="1">
      <alignment horizontal="left" indent="1"/>
    </xf>
    <xf numFmtId="0" fontId="2" fillId="0" borderId="0" xfId="0" applyFont="1"/>
    <xf numFmtId="0" fontId="6"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MY" sz="18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MY" sz="16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Total Monthly Revenue Contribution ($) by Restaurant Size </a:t>
            </a:r>
          </a:p>
        </c:rich>
      </c:tx>
      <c:overlay val="0"/>
      <c:spPr>
        <a:noFill/>
        <a:ln>
          <a:noFill/>
        </a:ln>
        <a:effectLst/>
      </c:spPr>
      <c:txPr>
        <a:bodyPr rot="0" spcFirstLastPara="1" vertOverflow="ellipsis" vert="horz" wrap="square" anchor="ctr" anchorCtr="1"/>
        <a:lstStyle/>
        <a:p>
          <a:pPr algn="ctr" rtl="0">
            <a:defRPr lang="en-MY" sz="18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1004]#,##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8679502649388799"/>
              <c:y val="0.14874625087726595"/>
            </c:manualLayout>
          </c:layout>
          <c:numFmt formatCode="[$$-1004]#,##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B801-43AF-9321-F3879DD1F63F}"/>
              </c:ext>
            </c:extLst>
          </c:dPt>
          <c:dPt>
            <c:idx val="1"/>
            <c:bubble3D val="0"/>
            <c:spPr>
              <a:solidFill>
                <a:schemeClr val="accent2"/>
              </a:solidFill>
              <a:ln>
                <a:noFill/>
              </a:ln>
              <a:effectLst/>
            </c:spPr>
            <c:extLst>
              <c:ext xmlns:c16="http://schemas.microsoft.com/office/drawing/2014/chart" uri="{C3380CC4-5D6E-409C-BE32-E72D297353CC}">
                <c16:uniqueId val="{00000003-B801-43AF-9321-F3879DD1F63F}"/>
              </c:ext>
            </c:extLst>
          </c:dPt>
          <c:dPt>
            <c:idx val="2"/>
            <c:bubble3D val="0"/>
            <c:spPr>
              <a:solidFill>
                <a:schemeClr val="accent3"/>
              </a:solidFill>
              <a:ln>
                <a:noFill/>
              </a:ln>
              <a:effectLst/>
            </c:spPr>
            <c:extLst>
              <c:ext xmlns:c16="http://schemas.microsoft.com/office/drawing/2014/chart" uri="{C3380CC4-5D6E-409C-BE32-E72D297353CC}">
                <c16:uniqueId val="{00000005-B801-43AF-9321-F3879DD1F63F}"/>
              </c:ext>
            </c:extLst>
          </c:dPt>
          <c:dLbls>
            <c:dLbl>
              <c:idx val="0"/>
              <c:layout>
                <c:manualLayout>
                  <c:x val="-0.18679502649388799"/>
                  <c:y val="0.1487462508772659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01-43AF-9321-F3879DD1F63F}"/>
                </c:ext>
              </c:extLst>
            </c:dLbl>
            <c:numFmt formatCode="[$$-1004]#,##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Large</c:v>
              </c:pt>
              <c:pt idx="1">
                <c:v>Medium</c:v>
              </c:pt>
              <c:pt idx="2">
                <c:v>Small</c:v>
              </c:pt>
            </c:strLit>
          </c:cat>
          <c:val>
            <c:numLit>
              <c:formatCode>General</c:formatCode>
              <c:ptCount val="3"/>
              <c:pt idx="0">
                <c:v>2269677</c:v>
              </c:pt>
              <c:pt idx="1">
                <c:v>3704637</c:v>
              </c:pt>
              <c:pt idx="2">
                <c:v>1895368</c:v>
              </c:pt>
            </c:numLit>
          </c:val>
          <c:extLst>
            <c:ext xmlns:c16="http://schemas.microsoft.com/office/drawing/2014/chart" uri="{C3380CC4-5D6E-409C-BE32-E72D297353CC}">
              <c16:uniqueId val="{00000006-B801-43AF-9321-F3879DD1F63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r>
              <a:rPr lang="en-MY" sz="2000"/>
              <a:t>Relationship Between Customer Ratings and Total Monthly</a:t>
            </a:r>
            <a:r>
              <a:rPr lang="en-MY" sz="2000" baseline="0"/>
              <a:t> </a:t>
            </a:r>
            <a:r>
              <a:rPr lang="en-MY" sz="2000"/>
              <a:t>Revenue</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9.9441211080716754E-2"/>
          <c:y val="0.1771675961211478"/>
          <c:w val="0.8793656813627988"/>
          <c:h val="0.57266443109608534"/>
        </c:manualLayout>
      </c:layout>
      <c:scatterChart>
        <c:scatterStyle val="lineMarker"/>
        <c:varyColors val="0"/>
        <c:ser>
          <c:idx val="0"/>
          <c:order val="0"/>
          <c:tx>
            <c:strRef>
              <c:f>rawdata!$W$1</c:f>
              <c:strCache>
                <c:ptCount val="1"/>
                <c:pt idx="0">
                  <c:v>monthly_revenue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rawdata!$K$2:$K$101</c:f>
              <c:numCache>
                <c:formatCode>General</c:formatCode>
                <c:ptCount val="100"/>
                <c:pt idx="0">
                  <c:v>4.7300000000000004</c:v>
                </c:pt>
                <c:pt idx="1">
                  <c:v>4.75</c:v>
                </c:pt>
                <c:pt idx="2">
                  <c:v>4.54</c:v>
                </c:pt>
                <c:pt idx="3">
                  <c:v>4.34</c:v>
                </c:pt>
                <c:pt idx="4">
                  <c:v>3.89</c:v>
                </c:pt>
                <c:pt idx="5">
                  <c:v>4.4800000000000004</c:v>
                </c:pt>
                <c:pt idx="6">
                  <c:v>3.73</c:v>
                </c:pt>
                <c:pt idx="7">
                  <c:v>3.48</c:v>
                </c:pt>
                <c:pt idx="8">
                  <c:v>3.12</c:v>
                </c:pt>
                <c:pt idx="9">
                  <c:v>3.83</c:v>
                </c:pt>
                <c:pt idx="10">
                  <c:v>4.6500000000000004</c:v>
                </c:pt>
                <c:pt idx="11">
                  <c:v>3.64</c:v>
                </c:pt>
                <c:pt idx="12">
                  <c:v>4.5</c:v>
                </c:pt>
                <c:pt idx="13">
                  <c:v>3.39</c:v>
                </c:pt>
                <c:pt idx="14">
                  <c:v>3.9</c:v>
                </c:pt>
                <c:pt idx="15">
                  <c:v>3.88</c:v>
                </c:pt>
                <c:pt idx="16">
                  <c:v>4.25</c:v>
                </c:pt>
                <c:pt idx="17">
                  <c:v>3.72</c:v>
                </c:pt>
                <c:pt idx="18">
                  <c:v>4.34</c:v>
                </c:pt>
                <c:pt idx="19">
                  <c:v>4.1100000000000003</c:v>
                </c:pt>
                <c:pt idx="20">
                  <c:v>4.62</c:v>
                </c:pt>
                <c:pt idx="21">
                  <c:v>3.71</c:v>
                </c:pt>
                <c:pt idx="22">
                  <c:v>4.33</c:v>
                </c:pt>
                <c:pt idx="23">
                  <c:v>4.72</c:v>
                </c:pt>
                <c:pt idx="24">
                  <c:v>3.88</c:v>
                </c:pt>
                <c:pt idx="25">
                  <c:v>4.68</c:v>
                </c:pt>
                <c:pt idx="26">
                  <c:v>4.8</c:v>
                </c:pt>
                <c:pt idx="27">
                  <c:v>4.62</c:v>
                </c:pt>
                <c:pt idx="28">
                  <c:v>4.68</c:v>
                </c:pt>
                <c:pt idx="29">
                  <c:v>4.4400000000000004</c:v>
                </c:pt>
                <c:pt idx="30">
                  <c:v>4.62</c:v>
                </c:pt>
                <c:pt idx="31">
                  <c:v>4.21</c:v>
                </c:pt>
                <c:pt idx="32">
                  <c:v>3.68</c:v>
                </c:pt>
                <c:pt idx="33">
                  <c:v>4.6399999999999997</c:v>
                </c:pt>
                <c:pt idx="34">
                  <c:v>4.1399999999999997</c:v>
                </c:pt>
                <c:pt idx="35">
                  <c:v>4.9000000000000004</c:v>
                </c:pt>
                <c:pt idx="36">
                  <c:v>4.1100000000000003</c:v>
                </c:pt>
                <c:pt idx="37">
                  <c:v>3.91</c:v>
                </c:pt>
                <c:pt idx="38">
                  <c:v>4.6900000000000004</c:v>
                </c:pt>
                <c:pt idx="39">
                  <c:v>3.81</c:v>
                </c:pt>
                <c:pt idx="40">
                  <c:v>4.12</c:v>
                </c:pt>
                <c:pt idx="41">
                  <c:v>4.3600000000000003</c:v>
                </c:pt>
                <c:pt idx="42">
                  <c:v>3.9</c:v>
                </c:pt>
                <c:pt idx="43">
                  <c:v>2.66</c:v>
                </c:pt>
                <c:pt idx="44">
                  <c:v>4.7699999999999996</c:v>
                </c:pt>
                <c:pt idx="45">
                  <c:v>3.67</c:v>
                </c:pt>
                <c:pt idx="46">
                  <c:v>4.47</c:v>
                </c:pt>
                <c:pt idx="47">
                  <c:v>4.45</c:v>
                </c:pt>
                <c:pt idx="48">
                  <c:v>4.58</c:v>
                </c:pt>
                <c:pt idx="49">
                  <c:v>3.57</c:v>
                </c:pt>
                <c:pt idx="50">
                  <c:v>3.04</c:v>
                </c:pt>
                <c:pt idx="51">
                  <c:v>3.76</c:v>
                </c:pt>
                <c:pt idx="52">
                  <c:v>4.9000000000000004</c:v>
                </c:pt>
                <c:pt idx="53">
                  <c:v>4.6399999999999997</c:v>
                </c:pt>
                <c:pt idx="54">
                  <c:v>2.96</c:v>
                </c:pt>
                <c:pt idx="55">
                  <c:v>4.4800000000000004</c:v>
                </c:pt>
                <c:pt idx="56">
                  <c:v>4.92</c:v>
                </c:pt>
                <c:pt idx="57">
                  <c:v>3.78</c:v>
                </c:pt>
                <c:pt idx="58">
                  <c:v>4.3600000000000003</c:v>
                </c:pt>
                <c:pt idx="59">
                  <c:v>3.86</c:v>
                </c:pt>
                <c:pt idx="60">
                  <c:v>4.83</c:v>
                </c:pt>
                <c:pt idx="61">
                  <c:v>4.42</c:v>
                </c:pt>
                <c:pt idx="62">
                  <c:v>3.99</c:v>
                </c:pt>
                <c:pt idx="63">
                  <c:v>4.6399999999999997</c:v>
                </c:pt>
                <c:pt idx="64">
                  <c:v>4.6500000000000004</c:v>
                </c:pt>
                <c:pt idx="65">
                  <c:v>4.58</c:v>
                </c:pt>
                <c:pt idx="66">
                  <c:v>4.97</c:v>
                </c:pt>
                <c:pt idx="67">
                  <c:v>3.46</c:v>
                </c:pt>
                <c:pt idx="68">
                  <c:v>4.72</c:v>
                </c:pt>
                <c:pt idx="69">
                  <c:v>4.32</c:v>
                </c:pt>
                <c:pt idx="70">
                  <c:v>4.68</c:v>
                </c:pt>
                <c:pt idx="71">
                  <c:v>3.71</c:v>
                </c:pt>
                <c:pt idx="72">
                  <c:v>4.3899999999999997</c:v>
                </c:pt>
                <c:pt idx="73">
                  <c:v>3.08</c:v>
                </c:pt>
                <c:pt idx="74">
                  <c:v>4.8899999999999997</c:v>
                </c:pt>
                <c:pt idx="75">
                  <c:v>4.51</c:v>
                </c:pt>
                <c:pt idx="76">
                  <c:v>4.75</c:v>
                </c:pt>
                <c:pt idx="77">
                  <c:v>4.2699999999999996</c:v>
                </c:pt>
                <c:pt idx="78">
                  <c:v>4</c:v>
                </c:pt>
                <c:pt idx="79">
                  <c:v>4.78</c:v>
                </c:pt>
                <c:pt idx="80">
                  <c:v>3.56</c:v>
                </c:pt>
                <c:pt idx="81">
                  <c:v>3.54</c:v>
                </c:pt>
                <c:pt idx="82">
                  <c:v>3.27</c:v>
                </c:pt>
                <c:pt idx="83">
                  <c:v>4.76</c:v>
                </c:pt>
                <c:pt idx="84">
                  <c:v>4.49</c:v>
                </c:pt>
                <c:pt idx="85">
                  <c:v>3.48</c:v>
                </c:pt>
                <c:pt idx="86">
                  <c:v>3.91</c:v>
                </c:pt>
                <c:pt idx="87">
                  <c:v>4.57</c:v>
                </c:pt>
                <c:pt idx="88">
                  <c:v>4.22</c:v>
                </c:pt>
                <c:pt idx="89">
                  <c:v>3.49</c:v>
                </c:pt>
                <c:pt idx="90">
                  <c:v>4.78</c:v>
                </c:pt>
                <c:pt idx="91">
                  <c:v>4.04</c:v>
                </c:pt>
                <c:pt idx="92">
                  <c:v>4.84</c:v>
                </c:pt>
                <c:pt idx="93">
                  <c:v>4.7699999999999996</c:v>
                </c:pt>
                <c:pt idx="94">
                  <c:v>4.78</c:v>
                </c:pt>
                <c:pt idx="95">
                  <c:v>4.8499999999999996</c:v>
                </c:pt>
                <c:pt idx="96">
                  <c:v>4.63</c:v>
                </c:pt>
                <c:pt idx="97">
                  <c:v>4.8099999999999996</c:v>
                </c:pt>
                <c:pt idx="98">
                  <c:v>4.1100000000000003</c:v>
                </c:pt>
                <c:pt idx="99">
                  <c:v>4.54</c:v>
                </c:pt>
              </c:numCache>
            </c:numRef>
          </c:xVal>
          <c:yVal>
            <c:numRef>
              <c:f>rawdata!$W$2:$W$101</c:f>
              <c:numCache>
                <c:formatCode>General</c:formatCode>
                <c:ptCount val="100"/>
                <c:pt idx="0">
                  <c:v>83079</c:v>
                </c:pt>
                <c:pt idx="1">
                  <c:v>31459</c:v>
                </c:pt>
                <c:pt idx="2">
                  <c:v>133797</c:v>
                </c:pt>
                <c:pt idx="3">
                  <c:v>41739</c:v>
                </c:pt>
                <c:pt idx="4">
                  <c:v>67946</c:v>
                </c:pt>
                <c:pt idx="5">
                  <c:v>78876</c:v>
                </c:pt>
                <c:pt idx="6">
                  <c:v>126677</c:v>
                </c:pt>
                <c:pt idx="7">
                  <c:v>77981</c:v>
                </c:pt>
                <c:pt idx="8">
                  <c:v>50296</c:v>
                </c:pt>
                <c:pt idx="9">
                  <c:v>38302</c:v>
                </c:pt>
                <c:pt idx="10">
                  <c:v>58721</c:v>
                </c:pt>
                <c:pt idx="11">
                  <c:v>38720</c:v>
                </c:pt>
                <c:pt idx="12">
                  <c:v>50667</c:v>
                </c:pt>
                <c:pt idx="13">
                  <c:v>37572</c:v>
                </c:pt>
                <c:pt idx="14">
                  <c:v>64036</c:v>
                </c:pt>
                <c:pt idx="15">
                  <c:v>98911</c:v>
                </c:pt>
                <c:pt idx="16">
                  <c:v>65485</c:v>
                </c:pt>
                <c:pt idx="17">
                  <c:v>57547</c:v>
                </c:pt>
                <c:pt idx="18">
                  <c:v>43305</c:v>
                </c:pt>
                <c:pt idx="19">
                  <c:v>232925</c:v>
                </c:pt>
                <c:pt idx="20">
                  <c:v>67276</c:v>
                </c:pt>
                <c:pt idx="21">
                  <c:v>82325</c:v>
                </c:pt>
                <c:pt idx="22">
                  <c:v>41603</c:v>
                </c:pt>
                <c:pt idx="23">
                  <c:v>64537</c:v>
                </c:pt>
                <c:pt idx="24">
                  <c:v>135153</c:v>
                </c:pt>
                <c:pt idx="25">
                  <c:v>247337</c:v>
                </c:pt>
                <c:pt idx="26">
                  <c:v>86948</c:v>
                </c:pt>
                <c:pt idx="27">
                  <c:v>29283</c:v>
                </c:pt>
                <c:pt idx="28">
                  <c:v>63433</c:v>
                </c:pt>
                <c:pt idx="29">
                  <c:v>92926</c:v>
                </c:pt>
                <c:pt idx="30">
                  <c:v>117793</c:v>
                </c:pt>
                <c:pt idx="31">
                  <c:v>38916</c:v>
                </c:pt>
                <c:pt idx="32">
                  <c:v>71817</c:v>
                </c:pt>
                <c:pt idx="33">
                  <c:v>119607</c:v>
                </c:pt>
                <c:pt idx="34">
                  <c:v>93957</c:v>
                </c:pt>
                <c:pt idx="35">
                  <c:v>95590</c:v>
                </c:pt>
                <c:pt idx="36">
                  <c:v>89153</c:v>
                </c:pt>
                <c:pt idx="37">
                  <c:v>105299</c:v>
                </c:pt>
                <c:pt idx="38">
                  <c:v>42671</c:v>
                </c:pt>
                <c:pt idx="39">
                  <c:v>73603</c:v>
                </c:pt>
                <c:pt idx="40">
                  <c:v>92695</c:v>
                </c:pt>
                <c:pt idx="41">
                  <c:v>51349</c:v>
                </c:pt>
                <c:pt idx="42">
                  <c:v>57945</c:v>
                </c:pt>
                <c:pt idx="43">
                  <c:v>46374</c:v>
                </c:pt>
                <c:pt idx="44">
                  <c:v>101625</c:v>
                </c:pt>
                <c:pt idx="45">
                  <c:v>43602</c:v>
                </c:pt>
                <c:pt idx="46">
                  <c:v>40238</c:v>
                </c:pt>
                <c:pt idx="47">
                  <c:v>77206</c:v>
                </c:pt>
                <c:pt idx="48">
                  <c:v>28040</c:v>
                </c:pt>
                <c:pt idx="49">
                  <c:v>71524</c:v>
                </c:pt>
                <c:pt idx="50">
                  <c:v>71295</c:v>
                </c:pt>
                <c:pt idx="51">
                  <c:v>57690</c:v>
                </c:pt>
                <c:pt idx="52">
                  <c:v>110768</c:v>
                </c:pt>
                <c:pt idx="53">
                  <c:v>76550</c:v>
                </c:pt>
                <c:pt idx="54">
                  <c:v>39603</c:v>
                </c:pt>
                <c:pt idx="55">
                  <c:v>78015</c:v>
                </c:pt>
                <c:pt idx="56">
                  <c:v>109699</c:v>
                </c:pt>
                <c:pt idx="57">
                  <c:v>51823</c:v>
                </c:pt>
                <c:pt idx="58">
                  <c:v>36385</c:v>
                </c:pt>
                <c:pt idx="59">
                  <c:v>62925</c:v>
                </c:pt>
                <c:pt idx="60">
                  <c:v>53592</c:v>
                </c:pt>
                <c:pt idx="61">
                  <c:v>48417</c:v>
                </c:pt>
                <c:pt idx="62">
                  <c:v>67767</c:v>
                </c:pt>
                <c:pt idx="63">
                  <c:v>85969</c:v>
                </c:pt>
                <c:pt idx="64">
                  <c:v>50064</c:v>
                </c:pt>
                <c:pt idx="65">
                  <c:v>54041</c:v>
                </c:pt>
                <c:pt idx="66">
                  <c:v>111556</c:v>
                </c:pt>
                <c:pt idx="67">
                  <c:v>60696</c:v>
                </c:pt>
                <c:pt idx="68">
                  <c:v>146468</c:v>
                </c:pt>
                <c:pt idx="69">
                  <c:v>137630</c:v>
                </c:pt>
                <c:pt idx="70">
                  <c:v>77226</c:v>
                </c:pt>
                <c:pt idx="71">
                  <c:v>50554</c:v>
                </c:pt>
                <c:pt idx="72">
                  <c:v>40501</c:v>
                </c:pt>
                <c:pt idx="73">
                  <c:v>55950</c:v>
                </c:pt>
                <c:pt idx="74">
                  <c:v>192946</c:v>
                </c:pt>
                <c:pt idx="75">
                  <c:v>62578</c:v>
                </c:pt>
                <c:pt idx="76">
                  <c:v>138190</c:v>
                </c:pt>
                <c:pt idx="77">
                  <c:v>70675</c:v>
                </c:pt>
                <c:pt idx="78">
                  <c:v>89242</c:v>
                </c:pt>
                <c:pt idx="79">
                  <c:v>73495</c:v>
                </c:pt>
                <c:pt idx="80">
                  <c:v>93016</c:v>
                </c:pt>
                <c:pt idx="81">
                  <c:v>62713</c:v>
                </c:pt>
                <c:pt idx="82">
                  <c:v>58227</c:v>
                </c:pt>
                <c:pt idx="83">
                  <c:v>119175</c:v>
                </c:pt>
                <c:pt idx="84">
                  <c:v>164607</c:v>
                </c:pt>
                <c:pt idx="85">
                  <c:v>119421</c:v>
                </c:pt>
                <c:pt idx="86">
                  <c:v>23275</c:v>
                </c:pt>
                <c:pt idx="87">
                  <c:v>82870</c:v>
                </c:pt>
                <c:pt idx="88">
                  <c:v>44238</c:v>
                </c:pt>
                <c:pt idx="89">
                  <c:v>78542</c:v>
                </c:pt>
                <c:pt idx="90">
                  <c:v>122300</c:v>
                </c:pt>
                <c:pt idx="91">
                  <c:v>80730</c:v>
                </c:pt>
                <c:pt idx="92">
                  <c:v>65651</c:v>
                </c:pt>
                <c:pt idx="93">
                  <c:v>43542</c:v>
                </c:pt>
                <c:pt idx="94">
                  <c:v>78801</c:v>
                </c:pt>
                <c:pt idx="95">
                  <c:v>124573</c:v>
                </c:pt>
                <c:pt idx="96">
                  <c:v>42396</c:v>
                </c:pt>
                <c:pt idx="97">
                  <c:v>45534</c:v>
                </c:pt>
                <c:pt idx="98">
                  <c:v>105065</c:v>
                </c:pt>
                <c:pt idx="99">
                  <c:v>104830</c:v>
                </c:pt>
              </c:numCache>
            </c:numRef>
          </c:yVal>
          <c:smooth val="0"/>
          <c:extLst>
            <c:ext xmlns:c16="http://schemas.microsoft.com/office/drawing/2014/chart" uri="{C3380CC4-5D6E-409C-BE32-E72D297353CC}">
              <c16:uniqueId val="{00000001-8A53-4793-8582-37978C866DA6}"/>
            </c:ext>
          </c:extLst>
        </c:ser>
        <c:dLbls>
          <c:showLegendKey val="0"/>
          <c:showVal val="0"/>
          <c:showCatName val="0"/>
          <c:showSerName val="0"/>
          <c:showPercent val="0"/>
          <c:showBubbleSize val="0"/>
        </c:dLbls>
        <c:axId val="369949855"/>
        <c:axId val="369946975"/>
      </c:scatterChart>
      <c:valAx>
        <c:axId val="369949855"/>
        <c:scaling>
          <c:orientation val="minMax"/>
          <c:min val="2"/>
        </c:scaling>
        <c:delete val="0"/>
        <c:axPos val="b"/>
        <c:title>
          <c:tx>
            <c:rich>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r>
                  <a:rPr lang="en-MY"/>
                  <a:t>Customer Rating</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crossAx val="369946975"/>
        <c:crosses val="autoZero"/>
        <c:crossBetween val="midCat"/>
      </c:valAx>
      <c:valAx>
        <c:axId val="369946975"/>
        <c:scaling>
          <c:orientation val="minMax"/>
        </c:scaling>
        <c:delete val="0"/>
        <c:axPos val="l"/>
        <c:title>
          <c:tx>
            <c:rich>
              <a:bodyPr rot="-540000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r>
                  <a:rPr lang="en-MY" sz="1600"/>
                  <a:t>Monthly Revenue ($)</a:t>
                </a:r>
              </a:p>
            </c:rich>
          </c:tx>
          <c:layout>
            <c:manualLayout>
              <c:xMode val="edge"/>
              <c:yMode val="edge"/>
              <c:x val="1.2779165770204071E-2"/>
              <c:y val="0.19177383223460986"/>
            </c:manualLayout>
          </c:layout>
          <c:overlay val="0"/>
          <c:spPr>
            <a:noFill/>
            <a:ln>
              <a:noFill/>
            </a:ln>
            <a:effectLst/>
          </c:spPr>
          <c:txPr>
            <a:bodyPr rot="-540000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200" b="0" i="0" u="none" strike="noStrike" kern="1200" baseline="0">
                <a:solidFill>
                  <a:sysClr val="windowText" lastClr="000000">
                    <a:lumMod val="65000"/>
                    <a:lumOff val="35000"/>
                  </a:sysClr>
                </a:solidFill>
                <a:latin typeface="+mn-lt"/>
                <a:ea typeface="+mn-ea"/>
                <a:cs typeface="+mn-cs"/>
              </a:defRPr>
            </a:pPr>
            <a:endParaRPr lang="en-US"/>
          </a:p>
        </c:txPr>
        <c:crossAx val="369949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600" b="1" i="0" u="none" strike="noStrike" kern="120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0"/>
  </c:pivotSource>
  <c:chart>
    <c:title>
      <c:tx>
        <c:rich>
          <a:bodyPr rot="0" spcFirstLastPara="1" vertOverflow="ellipsis" vert="horz" wrap="square" anchor="ctr" anchorCtr="1"/>
          <a:lstStyle/>
          <a:p>
            <a:pPr algn="ctr" rtl="0">
              <a:defRPr lang="en-MY" sz="18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MY" sz="18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Total Monthly Revenue ($) by Cuisine from each Location</a:t>
            </a:r>
          </a:p>
        </c:rich>
      </c:tx>
      <c:overlay val="0"/>
      <c:spPr>
        <a:noFill/>
        <a:ln>
          <a:noFill/>
        </a:ln>
        <a:effectLst/>
      </c:spPr>
      <c:txPr>
        <a:bodyPr rot="0" spcFirstLastPara="1" vertOverflow="ellipsis" vert="horz" wrap="square" anchor="ctr" anchorCtr="1"/>
        <a:lstStyle/>
        <a:p>
          <a:pPr algn="ctr" rtl="0">
            <a:defRPr lang="en-MY" sz="18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6769445529786"/>
          <c:y val="0.14232226836519066"/>
          <c:w val="0.84416508973604121"/>
          <c:h val="0.68142129242138449"/>
        </c:manualLayout>
      </c:layout>
      <c:barChart>
        <c:barDir val="bar"/>
        <c:grouping val="clustered"/>
        <c:varyColors val="0"/>
        <c:ser>
          <c:idx val="0"/>
          <c:order val="0"/>
          <c:tx>
            <c:strRef>
              <c:f>Dashboard!$AM$13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Dashboard!$AL$14:$AL$20</c:f>
              <c:multiLvlStrCache>
                <c:ptCount val="5"/>
                <c:lvl>
                  <c:pt idx="0">
                    <c:v>Mexican</c:v>
                  </c:pt>
                  <c:pt idx="1">
                    <c:v>Italian</c:v>
                  </c:pt>
                  <c:pt idx="2">
                    <c:v>American</c:v>
                  </c:pt>
                  <c:pt idx="3">
                    <c:v>Fast_Food</c:v>
                  </c:pt>
                  <c:pt idx="4">
                    <c:v>Asian</c:v>
                  </c:pt>
                </c:lvl>
                <c:lvl>
                  <c:pt idx="0">
                    <c:v>Strip_Mall</c:v>
                  </c:pt>
                </c:lvl>
              </c:multiLvlStrCache>
            </c:multiLvlStrRef>
          </c:cat>
          <c:val>
            <c:numRef>
              <c:f>Dashboard!$AM$14:$AM$20</c:f>
              <c:numCache>
                <c:formatCode>General</c:formatCode>
                <c:ptCount val="5"/>
                <c:pt idx="0">
                  <c:v>29283</c:v>
                </c:pt>
                <c:pt idx="1">
                  <c:v>197751</c:v>
                </c:pt>
                <c:pt idx="2">
                  <c:v>259525</c:v>
                </c:pt>
                <c:pt idx="3">
                  <c:v>276240</c:v>
                </c:pt>
                <c:pt idx="4">
                  <c:v>521117</c:v>
                </c:pt>
              </c:numCache>
            </c:numRef>
          </c:val>
          <c:extLst>
            <c:ext xmlns:c16="http://schemas.microsoft.com/office/drawing/2014/chart" uri="{C3380CC4-5D6E-409C-BE32-E72D297353CC}">
              <c16:uniqueId val="{00000000-A983-416A-B920-048E994E8197}"/>
            </c:ext>
          </c:extLst>
        </c:ser>
        <c:dLbls>
          <c:showLegendKey val="0"/>
          <c:showVal val="0"/>
          <c:showCatName val="0"/>
          <c:showSerName val="0"/>
          <c:showPercent val="0"/>
          <c:showBubbleSize val="0"/>
        </c:dLbls>
        <c:gapWidth val="182"/>
        <c:axId val="883328960"/>
        <c:axId val="883329920"/>
      </c:barChart>
      <c:catAx>
        <c:axId val="883328960"/>
        <c:scaling>
          <c:orientation val="minMax"/>
        </c:scaling>
        <c:delete val="0"/>
        <c:axPos val="l"/>
        <c:title>
          <c:tx>
            <c:rich>
              <a:bodyPr rot="-5400000" spcFirstLastPara="1" vertOverflow="ellipsis" vert="horz" wrap="square" anchor="ctr" anchorCtr="1"/>
              <a:lstStyle/>
              <a:p>
                <a:pPr>
                  <a:defRPr lang="en-US" sz="1400" b="1" i="0" u="none" strike="noStrike" kern="1200" baseline="0">
                    <a:solidFill>
                      <a:sysClr val="windowText" lastClr="000000">
                        <a:lumMod val="65000"/>
                        <a:lumOff val="35000"/>
                      </a:sysClr>
                    </a:solidFill>
                    <a:latin typeface="+mn-lt"/>
                    <a:ea typeface="+mn-ea"/>
                    <a:cs typeface="+mn-cs"/>
                  </a:defRPr>
                </a:pPr>
                <a:r>
                  <a:rPr lang="en-MY" sz="1400" b="1" i="0" u="none" strike="noStrike" kern="1200" baseline="0">
                    <a:solidFill>
                      <a:sysClr val="windowText" lastClr="000000">
                        <a:lumMod val="65000"/>
                        <a:lumOff val="35000"/>
                      </a:sysClr>
                    </a:solidFill>
                  </a:rPr>
                  <a:t>Location Type</a:t>
                </a:r>
              </a:p>
            </c:rich>
          </c:tx>
          <c:layout>
            <c:manualLayout>
              <c:xMode val="edge"/>
              <c:yMode val="edge"/>
              <c:x val="1.8581266048769623E-2"/>
              <c:y val="0.33843905056726481"/>
            </c:manualLayout>
          </c:layout>
          <c:overlay val="0"/>
          <c:spPr>
            <a:noFill/>
            <a:ln>
              <a:noFill/>
            </a:ln>
            <a:effectLst/>
          </c:spPr>
          <c:txPr>
            <a:bodyPr rot="-5400000" spcFirstLastPara="1" vertOverflow="ellipsis" vert="horz" wrap="square" anchor="ctr" anchorCtr="1"/>
            <a:lstStyle/>
            <a:p>
              <a:pPr>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crossAx val="883329920"/>
        <c:crosses val="autoZero"/>
        <c:auto val="1"/>
        <c:lblAlgn val="ctr"/>
        <c:lblOffset val="100"/>
        <c:noMultiLvlLbl val="0"/>
      </c:catAx>
      <c:valAx>
        <c:axId val="883329920"/>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en-US" sz="1400" b="1" i="0" u="none" strike="noStrike" kern="1200" baseline="0">
                    <a:solidFill>
                      <a:sysClr val="windowText" lastClr="000000">
                        <a:lumMod val="65000"/>
                        <a:lumOff val="35000"/>
                      </a:sysClr>
                    </a:solidFill>
                    <a:latin typeface="+mn-lt"/>
                    <a:ea typeface="+mn-ea"/>
                    <a:cs typeface="+mn-cs"/>
                  </a:defRPr>
                </a:pPr>
                <a:r>
                  <a:rPr lang="en-MY"/>
                  <a:t>Total Monthly Revenue ($)</a:t>
                </a:r>
              </a:p>
            </c:rich>
          </c:tx>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88332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Standard Residuals vs Fitted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Model_1_Quantitative!$D$69</c:f>
              <c:strCache>
                <c:ptCount val="1"/>
                <c:pt idx="0">
                  <c:v>Standard 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Model_1_Quantitative!$B$70:$B$169</c:f>
              <c:numCache>
                <c:formatCode>General</c:formatCode>
                <c:ptCount val="100"/>
                <c:pt idx="0">
                  <c:v>58972.950006582294</c:v>
                </c:pt>
                <c:pt idx="1">
                  <c:v>75623.612369012088</c:v>
                </c:pt>
                <c:pt idx="2">
                  <c:v>106993.96690799639</c:v>
                </c:pt>
                <c:pt idx="3">
                  <c:v>91269.330917167696</c:v>
                </c:pt>
                <c:pt idx="4">
                  <c:v>91357.154198512828</c:v>
                </c:pt>
                <c:pt idx="5">
                  <c:v>83620.089794861895</c:v>
                </c:pt>
                <c:pt idx="6">
                  <c:v>64804.623278100902</c:v>
                </c:pt>
                <c:pt idx="7">
                  <c:v>94675.088852042609</c:v>
                </c:pt>
                <c:pt idx="8">
                  <c:v>25923.043700297727</c:v>
                </c:pt>
                <c:pt idx="9">
                  <c:v>34915.29703413252</c:v>
                </c:pt>
                <c:pt idx="10">
                  <c:v>82251.825913160457</c:v>
                </c:pt>
                <c:pt idx="11">
                  <c:v>47568.123887774767</c:v>
                </c:pt>
                <c:pt idx="12">
                  <c:v>77390.651343637292</c:v>
                </c:pt>
                <c:pt idx="13">
                  <c:v>41122.251216658347</c:v>
                </c:pt>
                <c:pt idx="14">
                  <c:v>66417.677126852534</c:v>
                </c:pt>
                <c:pt idx="15">
                  <c:v>83222.65991075999</c:v>
                </c:pt>
                <c:pt idx="16">
                  <c:v>96264.014883022988</c:v>
                </c:pt>
                <c:pt idx="17">
                  <c:v>65054.308849012617</c:v>
                </c:pt>
                <c:pt idx="18">
                  <c:v>58051.398583507333</c:v>
                </c:pt>
                <c:pt idx="19">
                  <c:v>94308.929568617779</c:v>
                </c:pt>
                <c:pt idx="20">
                  <c:v>103293.05322537114</c:v>
                </c:pt>
                <c:pt idx="21">
                  <c:v>72469.644225072188</c:v>
                </c:pt>
                <c:pt idx="22">
                  <c:v>78821.480419750224</c:v>
                </c:pt>
                <c:pt idx="23">
                  <c:v>63571.700672482635</c:v>
                </c:pt>
                <c:pt idx="24">
                  <c:v>103589.16099043822</c:v>
                </c:pt>
                <c:pt idx="25">
                  <c:v>125206.42538987575</c:v>
                </c:pt>
                <c:pt idx="26">
                  <c:v>92292.466156932627</c:v>
                </c:pt>
                <c:pt idx="27">
                  <c:v>60137.432770081337</c:v>
                </c:pt>
                <c:pt idx="28">
                  <c:v>77129.51969482236</c:v>
                </c:pt>
                <c:pt idx="29">
                  <c:v>110055.01887930113</c:v>
                </c:pt>
                <c:pt idx="30">
                  <c:v>117817.12927617278</c:v>
                </c:pt>
                <c:pt idx="31">
                  <c:v>61867.98388957011</c:v>
                </c:pt>
                <c:pt idx="32">
                  <c:v>56388.414892461631</c:v>
                </c:pt>
                <c:pt idx="33">
                  <c:v>106901.73445089368</c:v>
                </c:pt>
                <c:pt idx="34">
                  <c:v>102848.64185561184</c:v>
                </c:pt>
                <c:pt idx="35">
                  <c:v>88188.899298556877</c:v>
                </c:pt>
                <c:pt idx="36">
                  <c:v>86993.22113773314</c:v>
                </c:pt>
                <c:pt idx="37">
                  <c:v>88539.851217358868</c:v>
                </c:pt>
                <c:pt idx="38">
                  <c:v>70070.479634425777</c:v>
                </c:pt>
                <c:pt idx="39">
                  <c:v>103304.71965754637</c:v>
                </c:pt>
                <c:pt idx="40">
                  <c:v>78585.053676864336</c:v>
                </c:pt>
                <c:pt idx="41">
                  <c:v>51869.635923607115</c:v>
                </c:pt>
                <c:pt idx="42">
                  <c:v>56815.703548190948</c:v>
                </c:pt>
                <c:pt idx="43">
                  <c:v>65430.308538056946</c:v>
                </c:pt>
                <c:pt idx="44">
                  <c:v>93185.055797534849</c:v>
                </c:pt>
                <c:pt idx="45">
                  <c:v>75453.915208912571</c:v>
                </c:pt>
                <c:pt idx="46">
                  <c:v>80166.265869319104</c:v>
                </c:pt>
                <c:pt idx="47">
                  <c:v>99734.338064491763</c:v>
                </c:pt>
                <c:pt idx="48">
                  <c:v>81541.171712926473</c:v>
                </c:pt>
                <c:pt idx="49">
                  <c:v>43572.005036348397</c:v>
                </c:pt>
                <c:pt idx="50">
                  <c:v>77457.563401722757</c:v>
                </c:pt>
                <c:pt idx="51">
                  <c:v>57106.2694152779</c:v>
                </c:pt>
                <c:pt idx="52">
                  <c:v>83375.040334458972</c:v>
                </c:pt>
                <c:pt idx="53">
                  <c:v>105062.04986629417</c:v>
                </c:pt>
                <c:pt idx="54">
                  <c:v>30901.205846146146</c:v>
                </c:pt>
                <c:pt idx="55">
                  <c:v>82409.745079523069</c:v>
                </c:pt>
                <c:pt idx="56">
                  <c:v>99224.56721666301</c:v>
                </c:pt>
                <c:pt idx="57">
                  <c:v>116117.29558430747</c:v>
                </c:pt>
                <c:pt idx="58">
                  <c:v>70344.584796294279</c:v>
                </c:pt>
                <c:pt idx="59">
                  <c:v>80768.710337510056</c:v>
                </c:pt>
                <c:pt idx="60">
                  <c:v>84585.315282357187</c:v>
                </c:pt>
                <c:pt idx="61">
                  <c:v>77532.319683959562</c:v>
                </c:pt>
                <c:pt idx="62">
                  <c:v>63607.081091761458</c:v>
                </c:pt>
                <c:pt idx="63">
                  <c:v>51480.428209676174</c:v>
                </c:pt>
                <c:pt idx="64">
                  <c:v>82805.017254095539</c:v>
                </c:pt>
                <c:pt idx="65">
                  <c:v>63163.028622166326</c:v>
                </c:pt>
                <c:pt idx="66">
                  <c:v>73808.691953428264</c:v>
                </c:pt>
                <c:pt idx="67">
                  <c:v>67336.555021003645</c:v>
                </c:pt>
                <c:pt idx="68">
                  <c:v>72891.197932945783</c:v>
                </c:pt>
                <c:pt idx="69">
                  <c:v>102179.75961858727</c:v>
                </c:pt>
                <c:pt idx="70">
                  <c:v>64355.057312006174</c:v>
                </c:pt>
                <c:pt idx="71">
                  <c:v>80753.084250098647</c:v>
                </c:pt>
                <c:pt idx="72">
                  <c:v>61657.050107048199</c:v>
                </c:pt>
                <c:pt idx="73">
                  <c:v>46482.14912554191</c:v>
                </c:pt>
                <c:pt idx="74">
                  <c:v>109075.62448963842</c:v>
                </c:pt>
                <c:pt idx="75">
                  <c:v>75020.386170260928</c:v>
                </c:pt>
                <c:pt idx="76">
                  <c:v>127273.07567199349</c:v>
                </c:pt>
                <c:pt idx="77">
                  <c:v>84297.744493743317</c:v>
                </c:pt>
                <c:pt idx="78">
                  <c:v>62417.701322489898</c:v>
                </c:pt>
                <c:pt idx="79">
                  <c:v>93686.879371767471</c:v>
                </c:pt>
                <c:pt idx="80">
                  <c:v>98300.331257960468</c:v>
                </c:pt>
                <c:pt idx="81">
                  <c:v>69180.273918764928</c:v>
                </c:pt>
                <c:pt idx="82">
                  <c:v>48859.342283094018</c:v>
                </c:pt>
                <c:pt idx="83">
                  <c:v>75258.211610669983</c:v>
                </c:pt>
                <c:pt idx="84">
                  <c:v>108294.99077899591</c:v>
                </c:pt>
                <c:pt idx="85">
                  <c:v>83947.686890481156</c:v>
                </c:pt>
                <c:pt idx="86">
                  <c:v>45462.57681616176</c:v>
                </c:pt>
                <c:pt idx="87">
                  <c:v>74217.482148128242</c:v>
                </c:pt>
                <c:pt idx="88">
                  <c:v>51536.17898195461</c:v>
                </c:pt>
                <c:pt idx="89">
                  <c:v>48754.098771017423</c:v>
                </c:pt>
                <c:pt idx="90">
                  <c:v>95074.724068491545</c:v>
                </c:pt>
                <c:pt idx="91">
                  <c:v>113659.52572046594</c:v>
                </c:pt>
                <c:pt idx="92">
                  <c:v>78731.288564862596</c:v>
                </c:pt>
                <c:pt idx="93">
                  <c:v>74096.0807601626</c:v>
                </c:pt>
                <c:pt idx="94">
                  <c:v>127523.30089058002</c:v>
                </c:pt>
                <c:pt idx="95">
                  <c:v>103050.08670640018</c:v>
                </c:pt>
                <c:pt idx="96">
                  <c:v>75834.639859946808</c:v>
                </c:pt>
                <c:pt idx="97">
                  <c:v>64863.413585745446</c:v>
                </c:pt>
                <c:pt idx="98">
                  <c:v>52669.559150775298</c:v>
                </c:pt>
                <c:pt idx="99">
                  <c:v>97545.59892015619</c:v>
                </c:pt>
              </c:numCache>
            </c:numRef>
          </c:xVal>
          <c:yVal>
            <c:numRef>
              <c:f>Model_1_Quantitative!$D$70:$D$169</c:f>
              <c:numCache>
                <c:formatCode>General</c:formatCode>
                <c:ptCount val="100"/>
                <c:pt idx="0">
                  <c:v>0.71798476830191305</c:v>
                </c:pt>
                <c:pt idx="1">
                  <c:v>-1.3154174569275103</c:v>
                </c:pt>
                <c:pt idx="2">
                  <c:v>0.7983128513217822</c:v>
                </c:pt>
                <c:pt idx="3">
                  <c:v>-1.4752322830654605</c:v>
                </c:pt>
                <c:pt idx="4">
                  <c:v>-0.69728769862708095</c:v>
                </c:pt>
                <c:pt idx="5">
                  <c:v>-0.14129997295689115</c:v>
                </c:pt>
                <c:pt idx="6">
                  <c:v>1.8428329849598533</c:v>
                </c:pt>
                <c:pt idx="7">
                  <c:v>-0.49722378903711872</c:v>
                </c:pt>
                <c:pt idx="8">
                  <c:v>0.72593441839093109</c:v>
                </c:pt>
                <c:pt idx="9">
                  <c:v>0.10087099068158106</c:v>
                </c:pt>
                <c:pt idx="10">
                  <c:v>-0.70085205149024321</c:v>
                </c:pt>
                <c:pt idx="11">
                  <c:v>-0.26353625671585607</c:v>
                </c:pt>
                <c:pt idx="12">
                  <c:v>-0.79594851182096182</c:v>
                </c:pt>
                <c:pt idx="13">
                  <c:v>-0.10574218081776379</c:v>
                </c:pt>
                <c:pt idx="14">
                  <c:v>-7.0936876865355783E-2</c:v>
                </c:pt>
                <c:pt idx="15">
                  <c:v>0.46726814335365185</c:v>
                </c:pt>
                <c:pt idx="16">
                  <c:v>-0.91673517126956161</c:v>
                </c:pt>
                <c:pt idx="17">
                  <c:v>-0.22360085563586871</c:v>
                </c:pt>
                <c:pt idx="18">
                  <c:v>-0.43921295994815412</c:v>
                </c:pt>
                <c:pt idx="19">
                  <c:v>4.1285995523436352</c:v>
                </c:pt>
                <c:pt idx="20">
                  <c:v>-1.0727471162632165</c:v>
                </c:pt>
                <c:pt idx="21">
                  <c:v>0.29353607640101165</c:v>
                </c:pt>
                <c:pt idx="22">
                  <c:v>-1.1085309309497131</c:v>
                </c:pt>
                <c:pt idx="23">
                  <c:v>2.8750882628999545E-2</c:v>
                </c:pt>
                <c:pt idx="24">
                  <c:v>0.94011070433302779</c:v>
                </c:pt>
                <c:pt idx="25">
                  <c:v>3.6375885861836861</c:v>
                </c:pt>
                <c:pt idx="26">
                  <c:v>-0.15918183594701205</c:v>
                </c:pt>
                <c:pt idx="27">
                  <c:v>-0.91898144945201765</c:v>
                </c:pt>
                <c:pt idx="28">
                  <c:v>-0.40794292396783471</c:v>
                </c:pt>
                <c:pt idx="29">
                  <c:v>-0.51017792855537347</c:v>
                </c:pt>
                <c:pt idx="30">
                  <c:v>-7.1867654663199381E-4</c:v>
                </c:pt>
                <c:pt idx="31">
                  <c:v>-0.68361157632718628</c:v>
                </c:pt>
                <c:pt idx="32">
                  <c:v>0.45953149133462573</c:v>
                </c:pt>
                <c:pt idx="33">
                  <c:v>0.3784189920779325</c:v>
                </c:pt>
                <c:pt idx="34">
                  <c:v>-0.26483241423909215</c:v>
                </c:pt>
                <c:pt idx="35">
                  <c:v>0.22043750733760828</c:v>
                </c:pt>
                <c:pt idx="36">
                  <c:v>6.4327765288442723E-2</c:v>
                </c:pt>
                <c:pt idx="37">
                  <c:v>0.49916156147222418</c:v>
                </c:pt>
                <c:pt idx="38">
                  <c:v>-0.81607766690469163</c:v>
                </c:pt>
                <c:pt idx="39">
                  <c:v>-0.88464855554165145</c:v>
                </c:pt>
                <c:pt idx="40">
                  <c:v>0.42025659717520053</c:v>
                </c:pt>
                <c:pt idx="41">
                  <c:v>-1.5506840112037328E-2</c:v>
                </c:pt>
                <c:pt idx="42">
                  <c:v>3.3635442203002699E-2</c:v>
                </c:pt>
                <c:pt idx="43">
                  <c:v>-0.56758113727145554</c:v>
                </c:pt>
                <c:pt idx="44">
                  <c:v>0.25137886067367593</c:v>
                </c:pt>
                <c:pt idx="45">
                  <c:v>-0.94869088745305996</c:v>
                </c:pt>
                <c:pt idx="46">
                  <c:v>-1.1892403245952028</c:v>
                </c:pt>
                <c:pt idx="47">
                  <c:v>-0.67099353024979058</c:v>
                </c:pt>
                <c:pt idx="48">
                  <c:v>-1.5935014814403552</c:v>
                </c:pt>
                <c:pt idx="49">
                  <c:v>0.83253401669015126</c:v>
                </c:pt>
                <c:pt idx="50">
                  <c:v>-0.18354838960924466</c:v>
                </c:pt>
                <c:pt idx="51">
                  <c:v>1.7386078131293895E-2</c:v>
                </c:pt>
                <c:pt idx="52">
                  <c:v>0.815883473399313</c:v>
                </c:pt>
                <c:pt idx="53">
                  <c:v>-0.84921492831275103</c:v>
                </c:pt>
                <c:pt idx="54">
                  <c:v>0.25917791015415992</c:v>
                </c:pt>
                <c:pt idx="55">
                  <c:v>-0.13089494249488956</c:v>
                </c:pt>
                <c:pt idx="56">
                  <c:v>0.31197492733532378</c:v>
                </c:pt>
                <c:pt idx="57">
                  <c:v>-1.914968438663265</c:v>
                </c:pt>
                <c:pt idx="58">
                  <c:v>-1.0114666081027082</c:v>
                </c:pt>
                <c:pt idx="59">
                  <c:v>-0.53146460062191292</c:v>
                </c:pt>
                <c:pt idx="60">
                  <c:v>-0.92311798482072349</c:v>
                </c:pt>
                <c:pt idx="61">
                  <c:v>-0.86718297120564702</c:v>
                </c:pt>
                <c:pt idx="62">
                  <c:v>0.12390078068791643</c:v>
                </c:pt>
                <c:pt idx="63">
                  <c:v>1.0272221800212407</c:v>
                </c:pt>
                <c:pt idx="64">
                  <c:v>-0.97517227806171458</c:v>
                </c:pt>
                <c:pt idx="65">
                  <c:v>-0.27169435094168815</c:v>
                </c:pt>
                <c:pt idx="66">
                  <c:v>1.1242817562080516</c:v>
                </c:pt>
                <c:pt idx="67">
                  <c:v>-0.19778509376083131</c:v>
                </c:pt>
                <c:pt idx="68">
                  <c:v>2.1914425299430791</c:v>
                </c:pt>
                <c:pt idx="69">
                  <c:v>1.0558649232639008</c:v>
                </c:pt>
                <c:pt idx="70">
                  <c:v>0.38335358991580104</c:v>
                </c:pt>
                <c:pt idx="71">
                  <c:v>-0.89946227250659294</c:v>
                </c:pt>
                <c:pt idx="72">
                  <c:v>-0.63012072647490169</c:v>
                </c:pt>
                <c:pt idx="73">
                  <c:v>0.28199446687744478</c:v>
                </c:pt>
                <c:pt idx="74">
                  <c:v>2.4980306663532259</c:v>
                </c:pt>
                <c:pt idx="75">
                  <c:v>-0.37058928169555144</c:v>
                </c:pt>
                <c:pt idx="76">
                  <c:v>0.32515428227990628</c:v>
                </c:pt>
                <c:pt idx="77">
                  <c:v>-0.40574557223797325</c:v>
                </c:pt>
                <c:pt idx="78">
                  <c:v>0.79894623449682978</c:v>
                </c:pt>
                <c:pt idx="79">
                  <c:v>-0.6014034583134632</c:v>
                </c:pt>
                <c:pt idx="80">
                  <c:v>-0.15739075273274949</c:v>
                </c:pt>
                <c:pt idx="81">
                  <c:v>-0.19262401626883499</c:v>
                </c:pt>
                <c:pt idx="82">
                  <c:v>0.27901027158082298</c:v>
                </c:pt>
                <c:pt idx="83">
                  <c:v>1.3080361629087776</c:v>
                </c:pt>
                <c:pt idx="84">
                  <c:v>1.6772206522511059</c:v>
                </c:pt>
                <c:pt idx="85">
                  <c:v>1.0565521311369404</c:v>
                </c:pt>
                <c:pt idx="86">
                  <c:v>-0.66084415339230895</c:v>
                </c:pt>
                <c:pt idx="87">
                  <c:v>0.25771024397612369</c:v>
                </c:pt>
                <c:pt idx="88">
                  <c:v>-0.21737204340053137</c:v>
                </c:pt>
                <c:pt idx="89">
                  <c:v>0.88721542384302865</c:v>
                </c:pt>
                <c:pt idx="90">
                  <c:v>0.81088911028464883</c:v>
                </c:pt>
                <c:pt idx="91">
                  <c:v>-0.98078689379456419</c:v>
                </c:pt>
                <c:pt idx="92">
                  <c:v>-0.38958883587852106</c:v>
                </c:pt>
                <c:pt idx="93">
                  <c:v>-0.91003563840834178</c:v>
                </c:pt>
                <c:pt idx="94">
                  <c:v>-1.4511655756795987</c:v>
                </c:pt>
                <c:pt idx="95">
                  <c:v>0.64104753447814944</c:v>
                </c:pt>
                <c:pt idx="96">
                  <c:v>-0.99595056422477612</c:v>
                </c:pt>
                <c:pt idx="97">
                  <c:v>-0.57571541329097142</c:v>
                </c:pt>
                <c:pt idx="98">
                  <c:v>1.5605679266607058</c:v>
                </c:pt>
                <c:pt idx="99">
                  <c:v>0.21696167654833409</c:v>
                </c:pt>
              </c:numCache>
            </c:numRef>
          </c:yVal>
          <c:smooth val="0"/>
          <c:extLst>
            <c:ext xmlns:c16="http://schemas.microsoft.com/office/drawing/2014/chart" uri="{C3380CC4-5D6E-409C-BE32-E72D297353CC}">
              <c16:uniqueId val="{00000000-62D8-444E-AB27-3C6E4D1774AC}"/>
            </c:ext>
          </c:extLst>
        </c:ser>
        <c:dLbls>
          <c:showLegendKey val="0"/>
          <c:showVal val="0"/>
          <c:showCatName val="0"/>
          <c:showSerName val="0"/>
          <c:showPercent val="0"/>
          <c:showBubbleSize val="0"/>
        </c:dLbls>
        <c:axId val="1292718559"/>
        <c:axId val="1292722879"/>
      </c:scatterChart>
      <c:valAx>
        <c:axId val="1292718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Fitted Values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722879"/>
        <c:crosses val="autoZero"/>
        <c:crossBetween val="midCat"/>
      </c:valAx>
      <c:valAx>
        <c:axId val="1292722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Std. Residuals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718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Distribution of Montly Restaurant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2">
                <a:lumMod val="90000"/>
              </a:schemeClr>
            </a:solidFill>
            <a:ln w="15875">
              <a:solidFill>
                <a:schemeClr val="tx1"/>
              </a:solidFill>
            </a:ln>
            <a:effectLst/>
          </c:spPr>
          <c:invertIfNegative val="0"/>
          <c:cat>
            <c:strRef>
              <c:f>Model_1_Quantitative!$E$21:$E$34</c:f>
              <c:strCache>
                <c:ptCount val="14"/>
                <c:pt idx="0">
                  <c:v>Less than (or =) -25000</c:v>
                </c:pt>
                <c:pt idx="1">
                  <c:v>Over -25000 to 0</c:v>
                </c:pt>
                <c:pt idx="2">
                  <c:v>Over 0 to 25000</c:v>
                </c:pt>
                <c:pt idx="3">
                  <c:v>Over 25000 to 50000</c:v>
                </c:pt>
                <c:pt idx="4">
                  <c:v>Over 50000 to 75000</c:v>
                </c:pt>
                <c:pt idx="5">
                  <c:v>Over 75000 to 100000</c:v>
                </c:pt>
                <c:pt idx="6">
                  <c:v>Over 100000 to 125000</c:v>
                </c:pt>
                <c:pt idx="7">
                  <c:v>Over 125000 to 150000</c:v>
                </c:pt>
                <c:pt idx="8">
                  <c:v>Over 150000 to 175000</c:v>
                </c:pt>
                <c:pt idx="9">
                  <c:v>Over 175000 to 200000</c:v>
                </c:pt>
                <c:pt idx="10">
                  <c:v>Over 200000 to 225000</c:v>
                </c:pt>
                <c:pt idx="11">
                  <c:v>Over 225000 to 250000</c:v>
                </c:pt>
                <c:pt idx="12">
                  <c:v>Over 250000 to 275000</c:v>
                </c:pt>
                <c:pt idx="13">
                  <c:v>Over 275000</c:v>
                </c:pt>
              </c:strCache>
            </c:strRef>
          </c:cat>
          <c:val>
            <c:numRef>
              <c:f>Model_1_Quantitative!$G$21:$G$34</c:f>
              <c:numCache>
                <c:formatCode>General</c:formatCode>
                <c:ptCount val="14"/>
                <c:pt idx="0">
                  <c:v>0</c:v>
                </c:pt>
                <c:pt idx="1">
                  <c:v>0</c:v>
                </c:pt>
                <c:pt idx="2">
                  <c:v>1</c:v>
                </c:pt>
                <c:pt idx="3">
                  <c:v>22</c:v>
                </c:pt>
                <c:pt idx="4">
                  <c:v>32</c:v>
                </c:pt>
                <c:pt idx="5">
                  <c:v>22</c:v>
                </c:pt>
                <c:pt idx="6">
                  <c:v>13</c:v>
                </c:pt>
                <c:pt idx="7">
                  <c:v>6</c:v>
                </c:pt>
                <c:pt idx="8">
                  <c:v>1</c:v>
                </c:pt>
                <c:pt idx="9">
                  <c:v>1</c:v>
                </c:pt>
                <c:pt idx="10">
                  <c:v>0</c:v>
                </c:pt>
                <c:pt idx="11">
                  <c:v>2</c:v>
                </c:pt>
                <c:pt idx="12">
                  <c:v>0</c:v>
                </c:pt>
                <c:pt idx="13">
                  <c:v>0</c:v>
                </c:pt>
              </c:numCache>
            </c:numRef>
          </c:val>
          <c:extLst>
            <c:ext xmlns:c16="http://schemas.microsoft.com/office/drawing/2014/chart" uri="{C3380CC4-5D6E-409C-BE32-E72D297353CC}">
              <c16:uniqueId val="{00000000-927E-4578-869C-67AC7F6EC4D1}"/>
            </c:ext>
          </c:extLst>
        </c:ser>
        <c:dLbls>
          <c:showLegendKey val="0"/>
          <c:showVal val="0"/>
          <c:showCatName val="0"/>
          <c:showSerName val="0"/>
          <c:showPercent val="0"/>
          <c:showBubbleSize val="0"/>
        </c:dLbls>
        <c:gapWidth val="0"/>
        <c:overlap val="-27"/>
        <c:axId val="1263622255"/>
        <c:axId val="411902064"/>
      </c:barChart>
      <c:catAx>
        <c:axId val="12636222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Monthly Revenue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02064"/>
        <c:crosses val="autoZero"/>
        <c:auto val="1"/>
        <c:lblAlgn val="ctr"/>
        <c:lblOffset val="100"/>
        <c:noMultiLvlLbl val="0"/>
      </c:catAx>
      <c:valAx>
        <c:axId val="41190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Number of Restaurants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62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MY" sz="1400" b="1" i="0" u="none" strike="noStrike" kern="1200" spc="0" baseline="0">
                <a:solidFill>
                  <a:sysClr val="windowText" lastClr="000000">
                    <a:lumMod val="65000"/>
                    <a:lumOff val="35000"/>
                  </a:sysClr>
                </a:solidFill>
                <a:latin typeface="+mn-lt"/>
                <a:ea typeface="+mn-ea"/>
                <a:cs typeface="+mn-cs"/>
              </a:defRPr>
            </a:pPr>
            <a:r>
              <a:rPr lang="en-MY" sz="1400" b="1" i="0" u="none" strike="noStrike" kern="1200" spc="0" baseline="0">
                <a:solidFill>
                  <a:sysClr val="windowText" lastClr="000000">
                    <a:lumMod val="65000"/>
                    <a:lumOff val="35000"/>
                  </a:sysClr>
                </a:solidFill>
                <a:latin typeface="+mn-lt"/>
                <a:ea typeface="+mn-ea"/>
                <a:cs typeface="+mn-cs"/>
              </a:rPr>
              <a:t>Standard Residuals vs Fitted</a:t>
            </a:r>
          </a:p>
        </c:rich>
      </c:tx>
      <c:overlay val="0"/>
      <c:spPr>
        <a:noFill/>
        <a:ln>
          <a:noFill/>
        </a:ln>
        <a:effectLst/>
      </c:spPr>
      <c:txPr>
        <a:bodyPr rot="0" spcFirstLastPara="1" vertOverflow="ellipsis" vert="horz" wrap="square" anchor="ctr" anchorCtr="1"/>
        <a:lstStyle/>
        <a:p>
          <a:pPr algn="ctr" rtl="0">
            <a:defRPr lang="en-MY"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6.468476371000012E-2"/>
          <c:y val="0.17017781416255956"/>
          <c:w val="0.89102855627170086"/>
          <c:h val="0.7095871812528135"/>
        </c:manualLayout>
      </c:layout>
      <c:scatterChart>
        <c:scatterStyle val="lineMarker"/>
        <c:varyColors val="0"/>
        <c:ser>
          <c:idx val="0"/>
          <c:order val="0"/>
          <c:tx>
            <c:strRef>
              <c:f>Model_2_Full!$D$59</c:f>
              <c:strCache>
                <c:ptCount val="1"/>
                <c:pt idx="0">
                  <c:v>Standard 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Model_2_Full!$B$60:$B$159</c:f>
              <c:numCache>
                <c:formatCode>General</c:formatCode>
                <c:ptCount val="100"/>
                <c:pt idx="0">
                  <c:v>100807.47791138984</c:v>
                </c:pt>
                <c:pt idx="1">
                  <c:v>24523.832029036043</c:v>
                </c:pt>
                <c:pt idx="2">
                  <c:v>122144.75463084929</c:v>
                </c:pt>
                <c:pt idx="3">
                  <c:v>62175.607330146333</c:v>
                </c:pt>
                <c:pt idx="4">
                  <c:v>67320.380793931021</c:v>
                </c:pt>
                <c:pt idx="5">
                  <c:v>69028.439256566169</c:v>
                </c:pt>
                <c:pt idx="6">
                  <c:v>124128.07014548755</c:v>
                </c:pt>
                <c:pt idx="7">
                  <c:v>82087.590458251099</c:v>
                </c:pt>
                <c:pt idx="8">
                  <c:v>39373.799305947461</c:v>
                </c:pt>
                <c:pt idx="9">
                  <c:v>37489.974142346335</c:v>
                </c:pt>
                <c:pt idx="10">
                  <c:v>83343.398400499573</c:v>
                </c:pt>
                <c:pt idx="11">
                  <c:v>47487.620996956633</c:v>
                </c:pt>
                <c:pt idx="12">
                  <c:v>60816.153877912533</c:v>
                </c:pt>
                <c:pt idx="13">
                  <c:v>28354.989517728016</c:v>
                </c:pt>
                <c:pt idx="14">
                  <c:v>61792.412772842858</c:v>
                </c:pt>
                <c:pt idx="15">
                  <c:v>97695.630056307273</c:v>
                </c:pt>
                <c:pt idx="16">
                  <c:v>58128.520555856026</c:v>
                </c:pt>
                <c:pt idx="17">
                  <c:v>68941.575026638951</c:v>
                </c:pt>
                <c:pt idx="18">
                  <c:v>46818.850749496771</c:v>
                </c:pt>
                <c:pt idx="19">
                  <c:v>181100.69681861438</c:v>
                </c:pt>
                <c:pt idx="20">
                  <c:v>73127.351850300067</c:v>
                </c:pt>
                <c:pt idx="21">
                  <c:v>76040.609118658453</c:v>
                </c:pt>
                <c:pt idx="22">
                  <c:v>20649.535922380655</c:v>
                </c:pt>
                <c:pt idx="23">
                  <c:v>79184.59010744188</c:v>
                </c:pt>
                <c:pt idx="24">
                  <c:v>138564.57578776759</c:v>
                </c:pt>
                <c:pt idx="25">
                  <c:v>197051.59743951337</c:v>
                </c:pt>
                <c:pt idx="26">
                  <c:v>103913.88126622577</c:v>
                </c:pt>
                <c:pt idx="27">
                  <c:v>18779.262362589681</c:v>
                </c:pt>
                <c:pt idx="28">
                  <c:v>88795.910841176694</c:v>
                </c:pt>
                <c:pt idx="29">
                  <c:v>101125.13891332923</c:v>
                </c:pt>
                <c:pt idx="30">
                  <c:v>119812.2512269</c:v>
                </c:pt>
                <c:pt idx="31">
                  <c:v>19964.099509354659</c:v>
                </c:pt>
                <c:pt idx="32">
                  <c:v>77258.058166022907</c:v>
                </c:pt>
                <c:pt idx="33">
                  <c:v>118061.0620653982</c:v>
                </c:pt>
                <c:pt idx="34">
                  <c:v>119773.23878667656</c:v>
                </c:pt>
                <c:pt idx="35">
                  <c:v>104218.42993794612</c:v>
                </c:pt>
                <c:pt idx="36">
                  <c:v>102899.51946103631</c:v>
                </c:pt>
                <c:pt idx="37">
                  <c:v>112303.16541071227</c:v>
                </c:pt>
                <c:pt idx="38">
                  <c:v>50918.059452809488</c:v>
                </c:pt>
                <c:pt idx="39">
                  <c:v>81767.036004696653</c:v>
                </c:pt>
                <c:pt idx="40">
                  <c:v>77669.059256874461</c:v>
                </c:pt>
                <c:pt idx="41">
                  <c:v>49220.092332391177</c:v>
                </c:pt>
                <c:pt idx="42">
                  <c:v>54748.077612342298</c:v>
                </c:pt>
                <c:pt idx="43">
                  <c:v>45822.054906772682</c:v>
                </c:pt>
                <c:pt idx="44">
                  <c:v>109317.0128447504</c:v>
                </c:pt>
                <c:pt idx="45">
                  <c:v>38913.080753465474</c:v>
                </c:pt>
                <c:pt idx="46">
                  <c:v>40076.211392205165</c:v>
                </c:pt>
                <c:pt idx="47">
                  <c:v>93480.369387084793</c:v>
                </c:pt>
                <c:pt idx="48">
                  <c:v>25105.009300249003</c:v>
                </c:pt>
                <c:pt idx="49">
                  <c:v>95701.210704216675</c:v>
                </c:pt>
                <c:pt idx="50">
                  <c:v>86187.271191868494</c:v>
                </c:pt>
                <c:pt idx="51">
                  <c:v>70472.988474661426</c:v>
                </c:pt>
                <c:pt idx="52">
                  <c:v>112644.74254870779</c:v>
                </c:pt>
                <c:pt idx="53">
                  <c:v>87592.787549530825</c:v>
                </c:pt>
                <c:pt idx="54">
                  <c:v>44500.951437549054</c:v>
                </c:pt>
                <c:pt idx="55">
                  <c:v>71558.503652501066</c:v>
                </c:pt>
                <c:pt idx="56">
                  <c:v>104862.84385330498</c:v>
                </c:pt>
                <c:pt idx="57">
                  <c:v>61439.984709062614</c:v>
                </c:pt>
                <c:pt idx="58">
                  <c:v>25917.656559396211</c:v>
                </c:pt>
                <c:pt idx="59">
                  <c:v>77588.81159497553</c:v>
                </c:pt>
                <c:pt idx="60">
                  <c:v>57127.665067856564</c:v>
                </c:pt>
                <c:pt idx="61">
                  <c:v>44466.215222458159</c:v>
                </c:pt>
                <c:pt idx="62">
                  <c:v>64854.191449047663</c:v>
                </c:pt>
                <c:pt idx="63">
                  <c:v>113174.47911431425</c:v>
                </c:pt>
                <c:pt idx="64">
                  <c:v>29324.741673746554</c:v>
                </c:pt>
                <c:pt idx="65">
                  <c:v>48889.818299655395</c:v>
                </c:pt>
                <c:pt idx="66">
                  <c:v>117340.99953784345</c:v>
                </c:pt>
                <c:pt idx="67">
                  <c:v>55056.903578610014</c:v>
                </c:pt>
                <c:pt idx="68">
                  <c:v>128479.15875890048</c:v>
                </c:pt>
                <c:pt idx="69">
                  <c:v>131107.46286561113</c:v>
                </c:pt>
                <c:pt idx="70">
                  <c:v>82046.59858702324</c:v>
                </c:pt>
                <c:pt idx="71">
                  <c:v>59828.988519384875</c:v>
                </c:pt>
                <c:pt idx="72">
                  <c:v>39741.694635704596</c:v>
                </c:pt>
                <c:pt idx="73">
                  <c:v>59765.121427542923</c:v>
                </c:pt>
                <c:pt idx="74">
                  <c:v>169328.84859174964</c:v>
                </c:pt>
                <c:pt idx="75">
                  <c:v>65970.147218051527</c:v>
                </c:pt>
                <c:pt idx="76">
                  <c:v>137637.84743823489</c:v>
                </c:pt>
                <c:pt idx="77">
                  <c:v>72056.481996066228</c:v>
                </c:pt>
                <c:pt idx="78">
                  <c:v>76746.886538638675</c:v>
                </c:pt>
                <c:pt idx="79">
                  <c:v>82092.50124760007</c:v>
                </c:pt>
                <c:pt idx="80">
                  <c:v>93420.328384877677</c:v>
                </c:pt>
                <c:pt idx="81">
                  <c:v>56480.994794225327</c:v>
                </c:pt>
                <c:pt idx="82">
                  <c:v>67202.786548605392</c:v>
                </c:pt>
                <c:pt idx="83">
                  <c:v>140977.44965195144</c:v>
                </c:pt>
                <c:pt idx="84">
                  <c:v>126521.62027072217</c:v>
                </c:pt>
                <c:pt idx="85">
                  <c:v>122980.67711780875</c:v>
                </c:pt>
                <c:pt idx="86">
                  <c:v>-12985.873392331054</c:v>
                </c:pt>
                <c:pt idx="87">
                  <c:v>86732.131487840699</c:v>
                </c:pt>
                <c:pt idx="88">
                  <c:v>32709.641418508552</c:v>
                </c:pt>
                <c:pt idx="89">
                  <c:v>66500.802384296287</c:v>
                </c:pt>
                <c:pt idx="90">
                  <c:v>135159.73953047435</c:v>
                </c:pt>
                <c:pt idx="91">
                  <c:v>84729.75419750897</c:v>
                </c:pt>
                <c:pt idx="92">
                  <c:v>64547.978485048399</c:v>
                </c:pt>
                <c:pt idx="93">
                  <c:v>46850.637244049176</c:v>
                </c:pt>
                <c:pt idx="94">
                  <c:v>86187.456111644045</c:v>
                </c:pt>
                <c:pt idx="95">
                  <c:v>107558.98995282647</c:v>
                </c:pt>
                <c:pt idx="96">
                  <c:v>42971.862718898512</c:v>
                </c:pt>
                <c:pt idx="97">
                  <c:v>43904.274583489088</c:v>
                </c:pt>
                <c:pt idx="98">
                  <c:v>83305.284183292213</c:v>
                </c:pt>
                <c:pt idx="99">
                  <c:v>118302.84408857618</c:v>
                </c:pt>
              </c:numCache>
            </c:numRef>
          </c:xVal>
          <c:yVal>
            <c:numRef>
              <c:f>Model_2_Full!$D$60:$D$159</c:f>
              <c:numCache>
                <c:formatCode>General</c:formatCode>
                <c:ptCount val="100"/>
                <c:pt idx="0">
                  <c:v>-1.2335050274984802</c:v>
                </c:pt>
                <c:pt idx="1">
                  <c:v>0.48253237539554988</c:v>
                </c:pt>
                <c:pt idx="2">
                  <c:v>0.8107353217987846</c:v>
                </c:pt>
                <c:pt idx="3">
                  <c:v>-1.4219301855887041</c:v>
                </c:pt>
                <c:pt idx="4">
                  <c:v>4.3529085793084593E-2</c:v>
                </c:pt>
                <c:pt idx="5">
                  <c:v>0.68516968835876935</c:v>
                </c:pt>
                <c:pt idx="6">
                  <c:v>0.17734843374580417</c:v>
                </c:pt>
                <c:pt idx="7">
                  <c:v>-0.28572672744091793</c:v>
                </c:pt>
                <c:pt idx="8">
                  <c:v>0.75994056200423143</c:v>
                </c:pt>
                <c:pt idx="9">
                  <c:v>5.6498814104681203E-2</c:v>
                </c:pt>
                <c:pt idx="10">
                  <c:v>-1.7131675019079928</c:v>
                </c:pt>
                <c:pt idx="11">
                  <c:v>-0.61003006761223988</c:v>
                </c:pt>
                <c:pt idx="12">
                  <c:v>-0.70615381624035689</c:v>
                </c:pt>
                <c:pt idx="13">
                  <c:v>0.64129751156383308</c:v>
                </c:pt>
                <c:pt idx="14">
                  <c:v>0.15610342513113984</c:v>
                </c:pt>
                <c:pt idx="15">
                  <c:v>8.4562529468611078E-2</c:v>
                </c:pt>
                <c:pt idx="16">
                  <c:v>0.51184621851890455</c:v>
                </c:pt>
                <c:pt idx="17">
                  <c:v>-0.79280723657262353</c:v>
                </c:pt>
                <c:pt idx="18">
                  <c:v>-0.24448531831370143</c:v>
                </c:pt>
                <c:pt idx="19">
                  <c:v>3.6058108789911989</c:v>
                </c:pt>
                <c:pt idx="20">
                  <c:v>-0.40712304581831027</c:v>
                </c:pt>
                <c:pt idx="21">
                  <c:v>0.43725286432628058</c:v>
                </c:pt>
                <c:pt idx="22">
                  <c:v>1.4578918400347902</c:v>
                </c:pt>
                <c:pt idx="23">
                  <c:v>-1.0191442338464192</c:v>
                </c:pt>
                <c:pt idx="24">
                  <c:v>-0.23736927145899067</c:v>
                </c:pt>
                <c:pt idx="25">
                  <c:v>3.4987378599656966</c:v>
                </c:pt>
                <c:pt idx="26">
                  <c:v>-1.1804453795994909</c:v>
                </c:pt>
                <c:pt idx="27">
                  <c:v>0.73082490488067553</c:v>
                </c:pt>
                <c:pt idx="28">
                  <c:v>-1.764690583757764</c:v>
                </c:pt>
                <c:pt idx="29">
                  <c:v>-0.57047644593630853</c:v>
                </c:pt>
                <c:pt idx="30">
                  <c:v>-0.14049466359226545</c:v>
                </c:pt>
                <c:pt idx="31">
                  <c:v>1.31862784006082</c:v>
                </c:pt>
                <c:pt idx="32">
                  <c:v>-0.37857579405556296</c:v>
                </c:pt>
                <c:pt idx="33">
                  <c:v>0.1075626584562463</c:v>
                </c:pt>
                <c:pt idx="34">
                  <c:v>-1.7962320563350795</c:v>
                </c:pt>
                <c:pt idx="35">
                  <c:v>-0.60034548713497249</c:v>
                </c:pt>
                <c:pt idx="36">
                  <c:v>-0.95644989663213997</c:v>
                </c:pt>
                <c:pt idx="37">
                  <c:v>-0.48733305198151855</c:v>
                </c:pt>
                <c:pt idx="38">
                  <c:v>-0.57381064228778256</c:v>
                </c:pt>
                <c:pt idx="39">
                  <c:v>-0.56803406963674585</c:v>
                </c:pt>
                <c:pt idx="40">
                  <c:v>1.0454689648022111</c:v>
                </c:pt>
                <c:pt idx="41">
                  <c:v>0.14812429607329314</c:v>
                </c:pt>
                <c:pt idx="42">
                  <c:v>0.22243420204532791</c:v>
                </c:pt>
                <c:pt idx="43">
                  <c:v>3.8403017495461884E-2</c:v>
                </c:pt>
                <c:pt idx="44">
                  <c:v>-0.53519182881948091</c:v>
                </c:pt>
                <c:pt idx="45">
                  <c:v>0.32624376965937157</c:v>
                </c:pt>
                <c:pt idx="46">
                  <c:v>1.1256863793066807E-2</c:v>
                </c:pt>
                <c:pt idx="47">
                  <c:v>-1.1323316394488314</c:v>
                </c:pt>
                <c:pt idx="48">
                  <c:v>0.20420962261392009</c:v>
                </c:pt>
                <c:pt idx="49">
                  <c:v>-1.6821924083726014</c:v>
                </c:pt>
                <c:pt idx="50">
                  <c:v>-1.0361685576085908</c:v>
                </c:pt>
                <c:pt idx="51">
                  <c:v>-0.88940971857599604</c:v>
                </c:pt>
                <c:pt idx="52">
                  <c:v>-0.13057925111913235</c:v>
                </c:pt>
                <c:pt idx="53">
                  <c:v>-0.76833070656295499</c:v>
                </c:pt>
                <c:pt idx="54">
                  <c:v>-0.3407877288088364</c:v>
                </c:pt>
                <c:pt idx="55">
                  <c:v>0.44922755041192119</c:v>
                </c:pt>
                <c:pt idx="56">
                  <c:v>0.33648816049140023</c:v>
                </c:pt>
                <c:pt idx="57">
                  <c:v>-0.66912676019318595</c:v>
                </c:pt>
                <c:pt idx="58">
                  <c:v>0.72829268384303181</c:v>
                </c:pt>
                <c:pt idx="59">
                  <c:v>-1.0202728860931756</c:v>
                </c:pt>
                <c:pt idx="60">
                  <c:v>-0.24600310633265876</c:v>
                </c:pt>
                <c:pt idx="61">
                  <c:v>0.27488614138337375</c:v>
                </c:pt>
                <c:pt idx="62">
                  <c:v>0.20266624183410212</c:v>
                </c:pt>
                <c:pt idx="63">
                  <c:v>-1.8928920706414278</c:v>
                </c:pt>
                <c:pt idx="64">
                  <c:v>1.4429879169484676</c:v>
                </c:pt>
                <c:pt idx="65">
                  <c:v>0.35840688392380504</c:v>
                </c:pt>
                <c:pt idx="66">
                  <c:v>-0.40250641085334249</c:v>
                </c:pt>
                <c:pt idx="67">
                  <c:v>0.39235482149679518</c:v>
                </c:pt>
                <c:pt idx="68">
                  <c:v>1.2516204843232765</c:v>
                </c:pt>
                <c:pt idx="69">
                  <c:v>0.45382251017416647</c:v>
                </c:pt>
                <c:pt idx="70">
                  <c:v>-0.33540570275494541</c:v>
                </c:pt>
                <c:pt idx="71">
                  <c:v>-0.64533148450954758</c:v>
                </c:pt>
                <c:pt idx="72">
                  <c:v>5.2830648459855252E-2</c:v>
                </c:pt>
                <c:pt idx="73">
                  <c:v>-0.26544701044910207</c:v>
                </c:pt>
                <c:pt idx="74">
                  <c:v>1.6432248240867626</c:v>
                </c:pt>
                <c:pt idx="75">
                  <c:v>-0.23601747811600568</c:v>
                </c:pt>
                <c:pt idx="76">
                  <c:v>3.8417452659365345E-2</c:v>
                </c:pt>
                <c:pt idx="77">
                  <c:v>-9.6120208179379815E-2</c:v>
                </c:pt>
                <c:pt idx="78">
                  <c:v>0.86938006470657203</c:v>
                </c:pt>
                <c:pt idx="79">
                  <c:v>-0.59819354294515126</c:v>
                </c:pt>
                <c:pt idx="80">
                  <c:v>-2.813220051939903E-2</c:v>
                </c:pt>
                <c:pt idx="81">
                  <c:v>0.43360799450137982</c:v>
                </c:pt>
                <c:pt idx="82">
                  <c:v>-0.62451372807052274</c:v>
                </c:pt>
                <c:pt idx="83">
                  <c:v>-1.5169622226951942</c:v>
                </c:pt>
                <c:pt idx="84">
                  <c:v>2.6498894944653482</c:v>
                </c:pt>
                <c:pt idx="85">
                  <c:v>-0.24767380725151986</c:v>
                </c:pt>
                <c:pt idx="86">
                  <c:v>2.5229447138375196</c:v>
                </c:pt>
                <c:pt idx="87">
                  <c:v>-0.26871785783995789</c:v>
                </c:pt>
                <c:pt idx="88">
                  <c:v>0.80211557586333915</c:v>
                </c:pt>
                <c:pt idx="89">
                  <c:v>0.83779768744449645</c:v>
                </c:pt>
                <c:pt idx="90">
                  <c:v>-0.894749873195262</c:v>
                </c:pt>
                <c:pt idx="91">
                  <c:v>-0.27829331632670773</c:v>
                </c:pt>
                <c:pt idx="92">
                  <c:v>7.6745594908498582E-2</c:v>
                </c:pt>
                <c:pt idx="93">
                  <c:v>-0.23020705415896722</c:v>
                </c:pt>
                <c:pt idx="94">
                  <c:v>-0.51393192323951309</c:v>
                </c:pt>
                <c:pt idx="95">
                  <c:v>1.1837940648934664</c:v>
                </c:pt>
                <c:pt idx="96">
                  <c:v>-4.0067148599028921E-2</c:v>
                </c:pt>
                <c:pt idx="97">
                  <c:v>0.11339239074871414</c:v>
                </c:pt>
                <c:pt idx="98">
                  <c:v>1.5139889048006294</c:v>
                </c:pt>
                <c:pt idx="99">
                  <c:v>-0.93740821975951871</c:v>
                </c:pt>
              </c:numCache>
            </c:numRef>
          </c:yVal>
          <c:smooth val="0"/>
          <c:extLst>
            <c:ext xmlns:c16="http://schemas.microsoft.com/office/drawing/2014/chart" uri="{C3380CC4-5D6E-409C-BE32-E72D297353CC}">
              <c16:uniqueId val="{00000000-2BD3-4166-AEB2-F2613F87BA2C}"/>
            </c:ext>
          </c:extLst>
        </c:ser>
        <c:dLbls>
          <c:showLegendKey val="0"/>
          <c:showVal val="0"/>
          <c:showCatName val="0"/>
          <c:showSerName val="0"/>
          <c:showPercent val="0"/>
          <c:showBubbleSize val="0"/>
        </c:dLbls>
        <c:axId val="1238622544"/>
        <c:axId val="1238625424"/>
      </c:scatterChart>
      <c:valAx>
        <c:axId val="1238622544"/>
        <c:scaling>
          <c:orientation val="minMax"/>
          <c:max val="200000"/>
          <c:min val="-2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Fitted Values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25424"/>
        <c:crosses val="autoZero"/>
        <c:crossBetween val="midCat"/>
      </c:valAx>
      <c:valAx>
        <c:axId val="123862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b="1"/>
                  <a:t>Std. Residuals</a:t>
                </a:r>
              </a:p>
            </c:rich>
          </c:tx>
          <c:layout>
            <c:manualLayout>
              <c:xMode val="edge"/>
              <c:yMode val="edge"/>
              <c:x val="8.5660889783944014E-3"/>
              <c:y val="0.380304023272130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22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sz="1200" b="1" i="0" u="none" strike="noStrike" baseline="0"/>
              <a:t>Distribution of Log-Transformed Monthly Restaurant Revenue</a:t>
            </a:r>
            <a:endParaRPr lang="en-MY" sz="12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clustered"/>
        <c:varyColors val="0"/>
        <c:ser>
          <c:idx val="0"/>
          <c:order val="0"/>
          <c:spPr>
            <a:solidFill>
              <a:schemeClr val="bg2">
                <a:lumMod val="90000"/>
              </a:schemeClr>
            </a:solidFill>
            <a:ln w="12700">
              <a:solidFill>
                <a:schemeClr val="tx1"/>
              </a:solidFill>
            </a:ln>
            <a:effectLst/>
          </c:spPr>
          <c:invertIfNegative val="0"/>
          <c:val>
            <c:numRef>
              <c:f>Model_3_Improved!$G$4:$G$17</c:f>
              <c:numCache>
                <c:formatCode>General</c:formatCode>
                <c:ptCount val="14"/>
                <c:pt idx="0">
                  <c:v>0</c:v>
                </c:pt>
                <c:pt idx="1">
                  <c:v>0</c:v>
                </c:pt>
                <c:pt idx="2">
                  <c:v>2</c:v>
                </c:pt>
                <c:pt idx="3">
                  <c:v>2</c:v>
                </c:pt>
                <c:pt idx="4">
                  <c:v>18</c:v>
                </c:pt>
                <c:pt idx="5">
                  <c:v>15</c:v>
                </c:pt>
                <c:pt idx="6">
                  <c:v>19</c:v>
                </c:pt>
                <c:pt idx="7">
                  <c:v>20</c:v>
                </c:pt>
                <c:pt idx="8">
                  <c:v>15</c:v>
                </c:pt>
                <c:pt idx="9">
                  <c:v>5</c:v>
                </c:pt>
                <c:pt idx="10">
                  <c:v>2</c:v>
                </c:pt>
                <c:pt idx="11">
                  <c:v>2</c:v>
                </c:pt>
                <c:pt idx="12">
                  <c:v>0</c:v>
                </c:pt>
                <c:pt idx="13">
                  <c:v>0</c:v>
                </c:pt>
              </c:numCache>
            </c:numRef>
          </c:val>
          <c:extLst>
            <c:ext xmlns:c16="http://schemas.microsoft.com/office/drawing/2014/chart" uri="{C3380CC4-5D6E-409C-BE32-E72D297353CC}">
              <c16:uniqueId val="{00000000-4DBC-4F37-AB31-5A492D11E203}"/>
            </c:ext>
          </c:extLst>
        </c:ser>
        <c:dLbls>
          <c:showLegendKey val="0"/>
          <c:showVal val="0"/>
          <c:showCatName val="0"/>
          <c:showSerName val="0"/>
          <c:showPercent val="0"/>
          <c:showBubbleSize val="0"/>
        </c:dLbls>
        <c:gapWidth val="0"/>
        <c:overlap val="-27"/>
        <c:axId val="1112695056"/>
        <c:axId val="1112693616"/>
      </c:barChart>
      <c:catAx>
        <c:axId val="11126950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b="1"/>
                  <a:t>ln (Monthly</a:t>
                </a:r>
                <a:r>
                  <a:rPr lang="en-MY" b="1" baseline="0"/>
                  <a:t> Revenue) ($)</a:t>
                </a:r>
                <a:endParaRPr lang="en-MY"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MY"/>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93616"/>
        <c:crosses val="autoZero"/>
        <c:auto val="1"/>
        <c:lblAlgn val="ctr"/>
        <c:lblOffset val="100"/>
        <c:noMultiLvlLbl val="0"/>
      </c:catAx>
      <c:valAx>
        <c:axId val="111269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MY" sz="1000" b="1" i="0" u="none" strike="noStrike" kern="1200" baseline="0">
                    <a:solidFill>
                      <a:sysClr val="windowText" lastClr="000000">
                        <a:lumMod val="65000"/>
                        <a:lumOff val="35000"/>
                      </a:sysClr>
                    </a:solidFill>
                  </a:rPr>
                  <a:t>Number of Restaurants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Standard Residuals vs Fitted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Model_3_Improved!$D$65</c:f>
              <c:strCache>
                <c:ptCount val="1"/>
                <c:pt idx="0">
                  <c:v>Standard 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Model_3_Improved!$B$66:$B$165</c:f>
              <c:numCache>
                <c:formatCode>General</c:formatCode>
                <c:ptCount val="100"/>
                <c:pt idx="0">
                  <c:v>11.37125062962745</c:v>
                </c:pt>
                <c:pt idx="1">
                  <c:v>10.403291950795477</c:v>
                </c:pt>
                <c:pt idx="2">
                  <c:v>11.617810970448957</c:v>
                </c:pt>
                <c:pt idx="3">
                  <c:v>10.848841852386267</c:v>
                </c:pt>
                <c:pt idx="4">
                  <c:v>11.064441868065968</c:v>
                </c:pt>
                <c:pt idx="5">
                  <c:v>11.087803570690552</c:v>
                </c:pt>
                <c:pt idx="6">
                  <c:v>11.618003900134957</c:v>
                </c:pt>
                <c:pt idx="7">
                  <c:v>11.173593652678429</c:v>
                </c:pt>
                <c:pt idx="8">
                  <c:v>10.809323070707485</c:v>
                </c:pt>
                <c:pt idx="9">
                  <c:v>10.69016453608857</c:v>
                </c:pt>
                <c:pt idx="10">
                  <c:v>11.260728149203782</c:v>
                </c:pt>
                <c:pt idx="11">
                  <c:v>10.770935307368509</c:v>
                </c:pt>
                <c:pt idx="12">
                  <c:v>10.887547385531121</c:v>
                </c:pt>
                <c:pt idx="13">
                  <c:v>10.616101955092638</c:v>
                </c:pt>
                <c:pt idx="14">
                  <c:v>10.992108565824861</c:v>
                </c:pt>
                <c:pt idx="15">
                  <c:v>11.365485679941379</c:v>
                </c:pt>
                <c:pt idx="16">
                  <c:v>10.930729449737553</c:v>
                </c:pt>
                <c:pt idx="17">
                  <c:v>10.999423608419319</c:v>
                </c:pt>
                <c:pt idx="18">
                  <c:v>10.825066476193873</c:v>
                </c:pt>
                <c:pt idx="19">
                  <c:v>12.304700068555555</c:v>
                </c:pt>
                <c:pt idx="20">
                  <c:v>11.098528015649281</c:v>
                </c:pt>
                <c:pt idx="21">
                  <c:v>11.177509521665481</c:v>
                </c:pt>
                <c:pt idx="22">
                  <c:v>10.508407825945927</c:v>
                </c:pt>
                <c:pt idx="23">
                  <c:v>11.045442350851291</c:v>
                </c:pt>
                <c:pt idx="24">
                  <c:v>11.881834928549168</c:v>
                </c:pt>
                <c:pt idx="25">
                  <c:v>12.500002385758361</c:v>
                </c:pt>
                <c:pt idx="26">
                  <c:v>11.44474340534922</c:v>
                </c:pt>
                <c:pt idx="27">
                  <c:v>10.380967850591722</c:v>
                </c:pt>
                <c:pt idx="28">
                  <c:v>11.321467009763644</c:v>
                </c:pt>
                <c:pt idx="29">
                  <c:v>11.484111590437578</c:v>
                </c:pt>
                <c:pt idx="30">
                  <c:v>11.788924927566647</c:v>
                </c:pt>
                <c:pt idx="31">
                  <c:v>10.474516152277422</c:v>
                </c:pt>
                <c:pt idx="32">
                  <c:v>11.253002413165555</c:v>
                </c:pt>
                <c:pt idx="33">
                  <c:v>11.742499050861548</c:v>
                </c:pt>
                <c:pt idx="34">
                  <c:v>11.566482512564214</c:v>
                </c:pt>
                <c:pt idx="35">
                  <c:v>11.406854587228775</c:v>
                </c:pt>
                <c:pt idx="36">
                  <c:v>11.423910740661935</c:v>
                </c:pt>
                <c:pt idx="37">
                  <c:v>11.530151104409395</c:v>
                </c:pt>
                <c:pt idx="38">
                  <c:v>10.77121824354675</c:v>
                </c:pt>
                <c:pt idx="39">
                  <c:v>11.336231473484315</c:v>
                </c:pt>
                <c:pt idx="40">
                  <c:v>11.17917804434734</c:v>
                </c:pt>
                <c:pt idx="41">
                  <c:v>10.754314928431109</c:v>
                </c:pt>
                <c:pt idx="42">
                  <c:v>11.000838606480086</c:v>
                </c:pt>
                <c:pt idx="43">
                  <c:v>10.696857189080117</c:v>
                </c:pt>
                <c:pt idx="44">
                  <c:v>11.421648499716339</c:v>
                </c:pt>
                <c:pt idx="45">
                  <c:v>10.629709502864637</c:v>
                </c:pt>
                <c:pt idx="46">
                  <c:v>10.739169655161264</c:v>
                </c:pt>
                <c:pt idx="47">
                  <c:v>11.365096404796063</c:v>
                </c:pt>
                <c:pt idx="48">
                  <c:v>10.487304548791526</c:v>
                </c:pt>
                <c:pt idx="49">
                  <c:v>11.392106367749061</c:v>
                </c:pt>
                <c:pt idx="50">
                  <c:v>11.297915103728998</c:v>
                </c:pt>
                <c:pt idx="51">
                  <c:v>11.079505713814493</c:v>
                </c:pt>
                <c:pt idx="52">
                  <c:v>11.530693237886071</c:v>
                </c:pt>
                <c:pt idx="53">
                  <c:v>11.314857938322566</c:v>
                </c:pt>
                <c:pt idx="54">
                  <c:v>10.762329999599247</c:v>
                </c:pt>
                <c:pt idx="55">
                  <c:v>11.028893786744588</c:v>
                </c:pt>
                <c:pt idx="56">
                  <c:v>11.570442338951555</c:v>
                </c:pt>
                <c:pt idx="57">
                  <c:v>10.958845539099572</c:v>
                </c:pt>
                <c:pt idx="58">
                  <c:v>10.57643678103255</c:v>
                </c:pt>
                <c:pt idx="59">
                  <c:v>11.070614151026723</c:v>
                </c:pt>
                <c:pt idx="60">
                  <c:v>10.875233744384396</c:v>
                </c:pt>
                <c:pt idx="61">
                  <c:v>10.795276215959966</c:v>
                </c:pt>
                <c:pt idx="62">
                  <c:v>11.065582136545176</c:v>
                </c:pt>
                <c:pt idx="63">
                  <c:v>11.506615882320032</c:v>
                </c:pt>
                <c:pt idx="64">
                  <c:v>10.534695521850423</c:v>
                </c:pt>
                <c:pt idx="65">
                  <c:v>10.783158119742737</c:v>
                </c:pt>
                <c:pt idx="66">
                  <c:v>11.550949653259011</c:v>
                </c:pt>
                <c:pt idx="67">
                  <c:v>10.945996681983633</c:v>
                </c:pt>
                <c:pt idx="68">
                  <c:v>11.677387909995671</c:v>
                </c:pt>
                <c:pt idx="69">
                  <c:v>11.76340635631226</c:v>
                </c:pt>
                <c:pt idx="70">
                  <c:v>11.22667783465176</c:v>
                </c:pt>
                <c:pt idx="71">
                  <c:v>10.927283138691427</c:v>
                </c:pt>
                <c:pt idx="72">
                  <c:v>10.703389885296206</c:v>
                </c:pt>
                <c:pt idx="73">
                  <c:v>10.984171892632695</c:v>
                </c:pt>
                <c:pt idx="74">
                  <c:v>12.258990865035212</c:v>
                </c:pt>
                <c:pt idx="75">
                  <c:v>11.102973858367053</c:v>
                </c:pt>
                <c:pt idx="76">
                  <c:v>11.809568025638093</c:v>
                </c:pt>
                <c:pt idx="77">
                  <c:v>11.111475507444121</c:v>
                </c:pt>
                <c:pt idx="78">
                  <c:v>11.080694910471369</c:v>
                </c:pt>
                <c:pt idx="79">
                  <c:v>11.202181880048133</c:v>
                </c:pt>
                <c:pt idx="80">
                  <c:v>11.404201414276441</c:v>
                </c:pt>
                <c:pt idx="81">
                  <c:v>10.866075626487309</c:v>
                </c:pt>
                <c:pt idx="82">
                  <c:v>11.048595258132456</c:v>
                </c:pt>
                <c:pt idx="83">
                  <c:v>11.846628570604203</c:v>
                </c:pt>
                <c:pt idx="84">
                  <c:v>11.768244751251602</c:v>
                </c:pt>
                <c:pt idx="85">
                  <c:v>11.725275074410181</c:v>
                </c:pt>
                <c:pt idx="86">
                  <c:v>9.978075155301374</c:v>
                </c:pt>
                <c:pt idx="87">
                  <c:v>11.285156504064684</c:v>
                </c:pt>
                <c:pt idx="88">
                  <c:v>10.613985411487292</c:v>
                </c:pt>
                <c:pt idx="89">
                  <c:v>11.119538782783325</c:v>
                </c:pt>
                <c:pt idx="90">
                  <c:v>11.857121102466955</c:v>
                </c:pt>
                <c:pt idx="91">
                  <c:v>11.211688613266418</c:v>
                </c:pt>
                <c:pt idx="92">
                  <c:v>11.07693146217523</c:v>
                </c:pt>
                <c:pt idx="93">
                  <c:v>10.700716661082481</c:v>
                </c:pt>
                <c:pt idx="94">
                  <c:v>11.340668169946523</c:v>
                </c:pt>
                <c:pt idx="95">
                  <c:v>11.566858549171302</c:v>
                </c:pt>
                <c:pt idx="96">
                  <c:v>10.816605549789712</c:v>
                </c:pt>
                <c:pt idx="97">
                  <c:v>10.747542175504593</c:v>
                </c:pt>
                <c:pt idx="98">
                  <c:v>11.235357563156562</c:v>
                </c:pt>
                <c:pt idx="99">
                  <c:v>11.675259573090283</c:v>
                </c:pt>
              </c:numCache>
            </c:numRef>
          </c:xVal>
          <c:yVal>
            <c:numRef>
              <c:f>Model_3_Improved!$D$66:$D$165</c:f>
              <c:numCache>
                <c:formatCode>General</c:formatCode>
                <c:ptCount val="100"/>
                <c:pt idx="0">
                  <c:v>-0.33858408121794092</c:v>
                </c:pt>
                <c:pt idx="1">
                  <c:v>-0.36297397936084547</c:v>
                </c:pt>
                <c:pt idx="2">
                  <c:v>1.4430778426257698</c:v>
                </c:pt>
                <c:pt idx="3">
                  <c:v>-1.6242302634386452</c:v>
                </c:pt>
                <c:pt idx="4">
                  <c:v>0.48054048621171491</c:v>
                </c:pt>
                <c:pt idx="5">
                  <c:v>1.4551688731790091</c:v>
                </c:pt>
                <c:pt idx="6">
                  <c:v>1.0179350787381669</c:v>
                </c:pt>
                <c:pt idx="7">
                  <c:v>0.70211497032991743</c:v>
                </c:pt>
                <c:pt idx="8">
                  <c:v>0.12672877635895943</c:v>
                </c:pt>
                <c:pt idx="9">
                  <c:v>-1.0606632806738203</c:v>
                </c:pt>
                <c:pt idx="10">
                  <c:v>-2.1706085744594072</c:v>
                </c:pt>
                <c:pt idx="11">
                  <c:v>-1.6023296476526283</c:v>
                </c:pt>
                <c:pt idx="12">
                  <c:v>-0.4223628671900358</c:v>
                </c:pt>
                <c:pt idx="13">
                  <c:v>-0.63595868149161638</c:v>
                </c:pt>
                <c:pt idx="14">
                  <c:v>0.58176273433533676</c:v>
                </c:pt>
                <c:pt idx="15">
                  <c:v>1.0574319668249386</c:v>
                </c:pt>
                <c:pt idx="16">
                  <c:v>1.2306378671438556</c:v>
                </c:pt>
                <c:pt idx="17">
                  <c:v>-0.30265926748549488</c:v>
                </c:pt>
                <c:pt idx="18">
                  <c:v>-1.1546843732106686</c:v>
                </c:pt>
                <c:pt idx="19">
                  <c:v>0.41658668569125762</c:v>
                </c:pt>
                <c:pt idx="20">
                  <c:v>0.13969054304528053</c:v>
                </c:pt>
                <c:pt idx="21">
                  <c:v>1.0917567000591126</c:v>
                </c:pt>
                <c:pt idx="22">
                  <c:v>0.98793602379890721</c:v>
                </c:pt>
                <c:pt idx="23">
                  <c:v>0.22894590503315371</c:v>
                </c:pt>
                <c:pt idx="24">
                  <c:v>-0.524277947815733</c:v>
                </c:pt>
                <c:pt idx="25">
                  <c:v>-0.63137028244087168</c:v>
                </c:pt>
                <c:pt idx="26">
                  <c:v>-0.55531144484165151</c:v>
                </c:pt>
                <c:pt idx="27">
                  <c:v>-0.74533412550610667</c:v>
                </c:pt>
                <c:pt idx="28">
                  <c:v>-2.0431810154333232</c:v>
                </c:pt>
                <c:pt idx="29">
                  <c:v>-0.3451650075552346</c:v>
                </c:pt>
                <c:pt idx="30">
                  <c:v>-0.86956527303854914</c:v>
                </c:pt>
                <c:pt idx="31">
                  <c:v>0.73324191719768872</c:v>
                </c:pt>
                <c:pt idx="32">
                  <c:v>-0.55103515570951878</c:v>
                </c:pt>
                <c:pt idx="33">
                  <c:v>-0.39149064010452073</c:v>
                </c:pt>
                <c:pt idx="34">
                  <c:v>-0.89783679571316155</c:v>
                </c:pt>
                <c:pt idx="35">
                  <c:v>0.47234553402598939</c:v>
                </c:pt>
                <c:pt idx="36">
                  <c:v>-0.19989218835844524</c:v>
                </c:pt>
                <c:pt idx="37">
                  <c:v>0.26657049622874091</c:v>
                </c:pt>
                <c:pt idx="38">
                  <c:v>-0.8517668159534364</c:v>
                </c:pt>
                <c:pt idx="39">
                  <c:v>-1.0055276718475767</c:v>
                </c:pt>
                <c:pt idx="40">
                  <c:v>1.9979697415800104</c:v>
                </c:pt>
                <c:pt idx="41">
                  <c:v>0.71341814545418658</c:v>
                </c:pt>
                <c:pt idx="42">
                  <c:v>-0.26022502161953048</c:v>
                </c:pt>
                <c:pt idx="43">
                  <c:v>0.36905939112979813</c:v>
                </c:pt>
                <c:pt idx="44">
                  <c:v>0.8320337377492073</c:v>
                </c:pt>
                <c:pt idx="45">
                  <c:v>0.41176067332257665</c:v>
                </c:pt>
                <c:pt idx="46">
                  <c:v>-1.0583035283310642</c:v>
                </c:pt>
                <c:pt idx="47">
                  <c:v>-0.85889837494351007</c:v>
                </c:pt>
                <c:pt idx="48">
                  <c:v>-1.9051990026922203</c:v>
                </c:pt>
                <c:pt idx="49">
                  <c:v>-1.6603901082666028</c:v>
                </c:pt>
                <c:pt idx="50">
                  <c:v>-0.95550491781394775</c:v>
                </c:pt>
                <c:pt idx="51">
                  <c:v>-0.90385323783877025</c:v>
                </c:pt>
                <c:pt idx="52">
                  <c:v>0.65464816654757785</c:v>
                </c:pt>
                <c:pt idx="53">
                  <c:v>-0.53579323477990082</c:v>
                </c:pt>
                <c:pt idx="54">
                  <c:v>-1.3609703109204943</c:v>
                </c:pt>
                <c:pt idx="55">
                  <c:v>1.8265280831213242</c:v>
                </c:pt>
                <c:pt idx="56">
                  <c:v>0.27156824903365978</c:v>
                </c:pt>
                <c:pt idx="57">
                  <c:v>-0.79995865123807641</c:v>
                </c:pt>
                <c:pt idx="58">
                  <c:v>-0.5773681597782101</c:v>
                </c:pt>
                <c:pt idx="59">
                  <c:v>-0.16203773696160667</c:v>
                </c:pt>
                <c:pt idx="60">
                  <c:v>0.10785304189965551</c:v>
                </c:pt>
                <c:pt idx="61">
                  <c:v>-5.942151097336866E-2</c:v>
                </c:pt>
                <c:pt idx="62">
                  <c:v>0.45126964588676838</c:v>
                </c:pt>
                <c:pt idx="63">
                  <c:v>-1.1223838004842925</c:v>
                </c:pt>
                <c:pt idx="64">
                  <c:v>2.2185372689363949</c:v>
                </c:pt>
                <c:pt idx="65">
                  <c:v>0.8858298011006811</c:v>
                </c:pt>
                <c:pt idx="66">
                  <c:v>0.55263432116695954</c:v>
                </c:pt>
                <c:pt idx="67">
                  <c:v>0.52400071389908931</c:v>
                </c:pt>
                <c:pt idx="68">
                  <c:v>1.6825188717282817</c:v>
                </c:pt>
                <c:pt idx="69">
                  <c:v>0.53392853591054812</c:v>
                </c:pt>
                <c:pt idx="70">
                  <c:v>0.21548107546230247</c:v>
                </c:pt>
                <c:pt idx="71">
                  <c:v>-0.74750615644163143</c:v>
                </c:pt>
                <c:pt idx="72">
                  <c:v>-0.73063368417342223</c:v>
                </c:pt>
                <c:pt idx="73">
                  <c:v>-0.40253657544630694</c:v>
                </c:pt>
                <c:pt idx="74">
                  <c:v>-0.68815736568316987</c:v>
                </c:pt>
                <c:pt idx="75">
                  <c:v>-0.455579537564545</c:v>
                </c:pt>
                <c:pt idx="76">
                  <c:v>0.20775832291054711</c:v>
                </c:pt>
                <c:pt idx="77">
                  <c:v>0.4212347000917111</c:v>
                </c:pt>
                <c:pt idx="78">
                  <c:v>2.4668404261060077</c:v>
                </c:pt>
                <c:pt idx="79">
                  <c:v>2.1621028451308279E-2</c:v>
                </c:pt>
                <c:pt idx="80">
                  <c:v>0.28142434594189752</c:v>
                </c:pt>
                <c:pt idx="81">
                  <c:v>1.3964419330462259</c:v>
                </c:pt>
                <c:pt idx="82">
                  <c:v>-0.59259872388743884</c:v>
                </c:pt>
                <c:pt idx="83">
                  <c:v>-1.2262478683622835</c:v>
                </c:pt>
                <c:pt idx="84">
                  <c:v>1.8831511774952112</c:v>
                </c:pt>
                <c:pt idx="85">
                  <c:v>-0.27010818187905433</c:v>
                </c:pt>
                <c:pt idx="86">
                  <c:v>0.5970079738691344</c:v>
                </c:pt>
                <c:pt idx="87">
                  <c:v>0.30890024073283257</c:v>
                </c:pt>
                <c:pt idx="88">
                  <c:v>0.64577013199709365</c:v>
                </c:pt>
                <c:pt idx="89">
                  <c:v>1.1764304333088604</c:v>
                </c:pt>
                <c:pt idx="90">
                  <c:v>-1.1070049358052216</c:v>
                </c:pt>
                <c:pt idx="91">
                  <c:v>0.6753873832666285</c:v>
                </c:pt>
                <c:pt idx="92">
                  <c:v>0.11757834358585877</c:v>
                </c:pt>
                <c:pt idx="93">
                  <c:v>-0.14902271827167859</c:v>
                </c:pt>
                <c:pt idx="94">
                  <c:v>-0.51122390386672456</c:v>
                </c:pt>
                <c:pt idx="95">
                  <c:v>1.2844172846079038</c:v>
                </c:pt>
                <c:pt idx="96">
                  <c:v>-1.253487147680405</c:v>
                </c:pt>
                <c:pt idx="97">
                  <c:v>-0.16523169192184131</c:v>
                </c:pt>
                <c:pt idx="98">
                  <c:v>2.533194451108884</c:v>
                </c:pt>
                <c:pt idx="99">
                  <c:v>-0.89221457315087516</c:v>
                </c:pt>
              </c:numCache>
            </c:numRef>
          </c:yVal>
          <c:smooth val="0"/>
          <c:extLst>
            <c:ext xmlns:c16="http://schemas.microsoft.com/office/drawing/2014/chart" uri="{C3380CC4-5D6E-409C-BE32-E72D297353CC}">
              <c16:uniqueId val="{00000000-1F92-4E96-AE04-A6A2B276F55D}"/>
            </c:ext>
          </c:extLst>
        </c:ser>
        <c:dLbls>
          <c:showLegendKey val="0"/>
          <c:showVal val="0"/>
          <c:showCatName val="0"/>
          <c:showSerName val="0"/>
          <c:showPercent val="0"/>
          <c:showBubbleSize val="0"/>
        </c:dLbls>
        <c:axId val="1286412768"/>
        <c:axId val="1286413728"/>
      </c:scatterChart>
      <c:valAx>
        <c:axId val="1286412768"/>
        <c:scaling>
          <c:orientation val="minMax"/>
          <c:min val="9.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sz="1000" b="1" i="0" u="none" strike="noStrike" kern="1200" baseline="0">
                    <a:solidFill>
                      <a:sysClr val="windowText" lastClr="000000">
                        <a:lumMod val="65000"/>
                        <a:lumOff val="35000"/>
                      </a:sysClr>
                    </a:solidFill>
                  </a:rPr>
                  <a:t>Fitted Values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13728"/>
        <c:crosses val="autoZero"/>
        <c:crossBetween val="midCat"/>
      </c:valAx>
      <c:valAx>
        <c:axId val="128641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sz="1000" b="1" i="0" u="none" strike="noStrike" kern="1200" baseline="0">
                    <a:solidFill>
                      <a:sysClr val="windowText" lastClr="000000">
                        <a:lumMod val="65000"/>
                        <a:lumOff val="35000"/>
                      </a:sysClr>
                    </a:solidFill>
                  </a:rPr>
                  <a:t>Std. 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127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400791</xdr:colOff>
      <xdr:row>39</xdr:row>
      <xdr:rowOff>174172</xdr:rowOff>
    </xdr:from>
    <xdr:to>
      <xdr:col>6</xdr:col>
      <xdr:colOff>446314</xdr:colOff>
      <xdr:row>60</xdr:row>
      <xdr:rowOff>130628</xdr:rowOff>
    </xdr:to>
    <xdr:sp macro="" textlink="">
      <xdr:nvSpPr>
        <xdr:cNvPr id="9" name="Rectangle 8">
          <a:extLst>
            <a:ext uri="{FF2B5EF4-FFF2-40B4-BE49-F238E27FC236}">
              <a16:creationId xmlns:a16="http://schemas.microsoft.com/office/drawing/2014/main" id="{B9610A26-CFB3-499F-A36F-3D2BFCC17E29}"/>
            </a:ext>
          </a:extLst>
        </xdr:cNvPr>
        <xdr:cNvSpPr/>
      </xdr:nvSpPr>
      <xdr:spPr>
        <a:xfrm>
          <a:off x="400791" y="7391401"/>
          <a:ext cx="4857009" cy="3842656"/>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6</xdr:col>
      <xdr:colOff>604651</xdr:colOff>
      <xdr:row>40</xdr:row>
      <xdr:rowOff>2969</xdr:rowOff>
    </xdr:from>
    <xdr:to>
      <xdr:col>23</xdr:col>
      <xdr:colOff>234538</xdr:colOff>
      <xdr:row>60</xdr:row>
      <xdr:rowOff>127660</xdr:rowOff>
    </xdr:to>
    <xdr:sp macro="" textlink="">
      <xdr:nvSpPr>
        <xdr:cNvPr id="7" name="Rectangle 6">
          <a:extLst>
            <a:ext uri="{FF2B5EF4-FFF2-40B4-BE49-F238E27FC236}">
              <a16:creationId xmlns:a16="http://schemas.microsoft.com/office/drawing/2014/main" id="{86C7A506-0E9E-42D8-B6D9-4C9E5B45AC17}"/>
            </a:ext>
          </a:extLst>
        </xdr:cNvPr>
        <xdr:cNvSpPr/>
      </xdr:nvSpPr>
      <xdr:spPr>
        <a:xfrm>
          <a:off x="5416137" y="7405255"/>
          <a:ext cx="11212287" cy="382583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399793</xdr:colOff>
      <xdr:row>15</xdr:row>
      <xdr:rowOff>106327</xdr:rowOff>
    </xdr:from>
    <xdr:to>
      <xdr:col>23</xdr:col>
      <xdr:colOff>211999</xdr:colOff>
      <xdr:row>39</xdr:row>
      <xdr:rowOff>21771</xdr:rowOff>
    </xdr:to>
    <xdr:sp macro="" textlink="">
      <xdr:nvSpPr>
        <xdr:cNvPr id="36" name="Rectangle 35">
          <a:extLst>
            <a:ext uri="{FF2B5EF4-FFF2-40B4-BE49-F238E27FC236}">
              <a16:creationId xmlns:a16="http://schemas.microsoft.com/office/drawing/2014/main" id="{CBCE89CC-1D9F-4208-A261-FAE5CA54C147}"/>
            </a:ext>
          </a:extLst>
        </xdr:cNvPr>
        <xdr:cNvSpPr/>
      </xdr:nvSpPr>
      <xdr:spPr>
        <a:xfrm>
          <a:off x="399793" y="2835400"/>
          <a:ext cx="16218751" cy="4281961"/>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402875</xdr:colOff>
      <xdr:row>5</xdr:row>
      <xdr:rowOff>116541</xdr:rowOff>
    </xdr:from>
    <xdr:to>
      <xdr:col>23</xdr:col>
      <xdr:colOff>249382</xdr:colOff>
      <xdr:row>14</xdr:row>
      <xdr:rowOff>173875</xdr:rowOff>
    </xdr:to>
    <xdr:sp macro="" textlink="">
      <xdr:nvSpPr>
        <xdr:cNvPr id="27" name="Rectangle 26">
          <a:extLst>
            <a:ext uri="{FF2B5EF4-FFF2-40B4-BE49-F238E27FC236}">
              <a16:creationId xmlns:a16="http://schemas.microsoft.com/office/drawing/2014/main" id="{8CA61627-3E15-DCCB-AAF3-2A0B50D58C63}"/>
            </a:ext>
          </a:extLst>
        </xdr:cNvPr>
        <xdr:cNvSpPr/>
      </xdr:nvSpPr>
      <xdr:spPr>
        <a:xfrm>
          <a:off x="402875" y="1026232"/>
          <a:ext cx="16253052" cy="169477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670435</xdr:colOff>
      <xdr:row>9</xdr:row>
      <xdr:rowOff>49831</xdr:rowOff>
    </xdr:from>
    <xdr:to>
      <xdr:col>3</xdr:col>
      <xdr:colOff>390677</xdr:colOff>
      <xdr:row>13</xdr:row>
      <xdr:rowOff>87931</xdr:rowOff>
    </xdr:to>
    <xdr:grpSp>
      <xdr:nvGrpSpPr>
        <xdr:cNvPr id="26" name="Group 25">
          <a:extLst>
            <a:ext uri="{FF2B5EF4-FFF2-40B4-BE49-F238E27FC236}">
              <a16:creationId xmlns:a16="http://schemas.microsoft.com/office/drawing/2014/main" id="{7FD0E2EE-5296-EE2C-094E-F2B4019C8F8D}"/>
            </a:ext>
          </a:extLst>
        </xdr:cNvPr>
        <xdr:cNvGrpSpPr/>
      </xdr:nvGrpSpPr>
      <xdr:grpSpPr>
        <a:xfrm>
          <a:off x="1272761" y="1612277"/>
          <a:ext cx="2098548" cy="730828"/>
          <a:chOff x="4791397" y="1249680"/>
          <a:chExt cx="1838003" cy="762000"/>
        </a:xfrm>
      </xdr:grpSpPr>
      <xdr:sp macro="" textlink="Model_1_Quantitative!B33">
        <xdr:nvSpPr>
          <xdr:cNvPr id="8" name="Rectangle 7">
            <a:extLst>
              <a:ext uri="{FF2B5EF4-FFF2-40B4-BE49-F238E27FC236}">
                <a16:creationId xmlns:a16="http://schemas.microsoft.com/office/drawing/2014/main" id="{2754BF40-3EB3-4700-B140-7A3597BC8307}"/>
              </a:ext>
            </a:extLst>
          </xdr:cNvPr>
          <xdr:cNvSpPr/>
        </xdr:nvSpPr>
        <xdr:spPr>
          <a:xfrm>
            <a:off x="4791397" y="1249680"/>
            <a:ext cx="1822763" cy="762000"/>
          </a:xfrm>
          <a:prstGeom prst="rect">
            <a:avLst/>
          </a:prstGeom>
          <a:solidFill>
            <a:schemeClr val="accent4">
              <a:lumMod val="20000"/>
              <a:lumOff val="80000"/>
            </a:schemeClr>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EDCFE5-0BEE-4318-BECC-68D2BDF6E415}" type="TxLink">
              <a:rPr lang="en-US" sz="2800" b="0" i="0" u="none" strike="noStrike">
                <a:solidFill>
                  <a:srgbClr val="000000"/>
                </a:solidFill>
                <a:latin typeface="Aptos Black" panose="020B0004020202020204" pitchFamily="34" charset="0"/>
              </a:rPr>
              <a:pPr algn="ctr"/>
              <a:t>7869682</a:t>
            </a:fld>
            <a:endParaRPr lang="en-MY" sz="2800">
              <a:latin typeface="Aptos Black" panose="020B0004020202020204" pitchFamily="34" charset="0"/>
            </a:endParaRPr>
          </a:p>
        </xdr:txBody>
      </xdr:sp>
      <xdr:sp macro="" textlink="">
        <xdr:nvSpPr>
          <xdr:cNvPr id="12" name="TextBox 11">
            <a:extLst>
              <a:ext uri="{FF2B5EF4-FFF2-40B4-BE49-F238E27FC236}">
                <a16:creationId xmlns:a16="http://schemas.microsoft.com/office/drawing/2014/main" id="{9F08CF39-FADE-3F4E-B256-7018EEAD4BD5}"/>
              </a:ext>
            </a:extLst>
          </xdr:cNvPr>
          <xdr:cNvSpPr txBox="1"/>
        </xdr:nvSpPr>
        <xdr:spPr>
          <a:xfrm>
            <a:off x="4800600" y="1249680"/>
            <a:ext cx="1828800" cy="2667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Total Monthly Revenue</a:t>
            </a:r>
          </a:p>
        </xdr:txBody>
      </xdr:sp>
    </xdr:grpSp>
    <xdr:clientData/>
  </xdr:twoCellAnchor>
  <xdr:twoCellAnchor>
    <xdr:from>
      <xdr:col>12</xdr:col>
      <xdr:colOff>344932</xdr:colOff>
      <xdr:row>9</xdr:row>
      <xdr:rowOff>25161</xdr:rowOff>
    </xdr:from>
    <xdr:to>
      <xdr:col>15</xdr:col>
      <xdr:colOff>587821</xdr:colOff>
      <xdr:row>13</xdr:row>
      <xdr:rowOff>59451</xdr:rowOff>
    </xdr:to>
    <xdr:grpSp>
      <xdr:nvGrpSpPr>
        <xdr:cNvPr id="17" name="Group 16">
          <a:extLst>
            <a:ext uri="{FF2B5EF4-FFF2-40B4-BE49-F238E27FC236}">
              <a16:creationId xmlns:a16="http://schemas.microsoft.com/office/drawing/2014/main" id="{90FB4BC8-EE9E-806F-90CF-85CE087661D4}"/>
            </a:ext>
          </a:extLst>
        </xdr:cNvPr>
        <xdr:cNvGrpSpPr/>
      </xdr:nvGrpSpPr>
      <xdr:grpSpPr>
        <a:xfrm>
          <a:off x="10025796" y="1579987"/>
          <a:ext cx="2065108" cy="727018"/>
          <a:chOff x="5019997" y="2788920"/>
          <a:chExt cx="1838003" cy="762000"/>
        </a:xfrm>
      </xdr:grpSpPr>
      <xdr:sp macro="" textlink="Model_1_Quantitative!L5">
        <xdr:nvSpPr>
          <xdr:cNvPr id="15" name="Rectangle 14">
            <a:extLst>
              <a:ext uri="{FF2B5EF4-FFF2-40B4-BE49-F238E27FC236}">
                <a16:creationId xmlns:a16="http://schemas.microsoft.com/office/drawing/2014/main" id="{62CE3701-85F1-4936-BF51-1B0CB03A5870}"/>
              </a:ext>
            </a:extLst>
          </xdr:cNvPr>
          <xdr:cNvSpPr/>
        </xdr:nvSpPr>
        <xdr:spPr>
          <a:xfrm>
            <a:off x="5019997" y="2788920"/>
            <a:ext cx="1822763" cy="762000"/>
          </a:xfrm>
          <a:prstGeom prst="rect">
            <a:avLst/>
          </a:prstGeom>
          <a:solidFill>
            <a:schemeClr val="accent4">
              <a:lumMod val="20000"/>
              <a:lumOff val="80000"/>
            </a:schemeClr>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2795A0C-800D-4C38-9BB7-68E77C34B39A}" type="TxLink">
              <a:rPr lang="en-US" sz="2800" b="0" i="0" u="none" strike="noStrike">
                <a:solidFill>
                  <a:srgbClr val="000000"/>
                </a:solidFill>
                <a:latin typeface="Aptos Black" panose="020B0004020202020204" pitchFamily="34" charset="0"/>
                <a:ea typeface="+mn-ea"/>
                <a:cs typeface="+mn-cs"/>
              </a:rPr>
              <a:pPr marL="0" indent="0" algn="ctr"/>
              <a:t>4.2279</a:t>
            </a:fld>
            <a:endParaRPr lang="en-MY" sz="2800" b="0" i="0" u="none" strike="noStrike">
              <a:solidFill>
                <a:srgbClr val="000000"/>
              </a:solidFill>
              <a:latin typeface="Aptos Black" panose="020B0004020202020204" pitchFamily="34" charset="0"/>
              <a:ea typeface="+mn-ea"/>
              <a:cs typeface="+mn-cs"/>
            </a:endParaRPr>
          </a:p>
        </xdr:txBody>
      </xdr:sp>
      <xdr:sp macro="" textlink="">
        <xdr:nvSpPr>
          <xdr:cNvPr id="16" name="TextBox 15">
            <a:extLst>
              <a:ext uri="{FF2B5EF4-FFF2-40B4-BE49-F238E27FC236}">
                <a16:creationId xmlns:a16="http://schemas.microsoft.com/office/drawing/2014/main" id="{834B2D4C-B524-4830-A291-372846816503}"/>
              </a:ext>
            </a:extLst>
          </xdr:cNvPr>
          <xdr:cNvSpPr txBox="1"/>
        </xdr:nvSpPr>
        <xdr:spPr>
          <a:xfrm>
            <a:off x="5029200" y="2788920"/>
            <a:ext cx="1828800" cy="2667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MY" sz="12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Average Customer Rating</a:t>
            </a:r>
          </a:p>
        </xdr:txBody>
      </xdr:sp>
    </xdr:grpSp>
    <xdr:clientData/>
  </xdr:twoCellAnchor>
  <xdr:twoCellAnchor>
    <xdr:from>
      <xdr:col>18</xdr:col>
      <xdr:colOff>333097</xdr:colOff>
      <xdr:row>9</xdr:row>
      <xdr:rowOff>30331</xdr:rowOff>
    </xdr:from>
    <xdr:to>
      <xdr:col>21</xdr:col>
      <xdr:colOff>591341</xdr:colOff>
      <xdr:row>13</xdr:row>
      <xdr:rowOff>66526</xdr:rowOff>
    </xdr:to>
    <xdr:grpSp>
      <xdr:nvGrpSpPr>
        <xdr:cNvPr id="25" name="Group 24">
          <a:extLst>
            <a:ext uri="{FF2B5EF4-FFF2-40B4-BE49-F238E27FC236}">
              <a16:creationId xmlns:a16="http://schemas.microsoft.com/office/drawing/2014/main" id="{0D79F4AA-D15C-39DD-FA59-4D78D5740C82}"/>
            </a:ext>
          </a:extLst>
        </xdr:cNvPr>
        <xdr:cNvGrpSpPr/>
      </xdr:nvGrpSpPr>
      <xdr:grpSpPr>
        <a:xfrm>
          <a:off x="13648874" y="1587062"/>
          <a:ext cx="2074748" cy="728923"/>
          <a:chOff x="4981897" y="3992880"/>
          <a:chExt cx="1838003" cy="762000"/>
        </a:xfrm>
      </xdr:grpSpPr>
      <xdr:sp macro="" textlink="Model_1_Quantitative!B34">
        <xdr:nvSpPr>
          <xdr:cNvPr id="19" name="Rectangle 18">
            <a:extLst>
              <a:ext uri="{FF2B5EF4-FFF2-40B4-BE49-F238E27FC236}">
                <a16:creationId xmlns:a16="http://schemas.microsoft.com/office/drawing/2014/main" id="{8E54BBEB-9AD0-8D42-EDB1-FFDC5D90A373}"/>
              </a:ext>
            </a:extLst>
          </xdr:cNvPr>
          <xdr:cNvSpPr/>
        </xdr:nvSpPr>
        <xdr:spPr>
          <a:xfrm>
            <a:off x="4981897" y="3992880"/>
            <a:ext cx="1822763" cy="762000"/>
          </a:xfrm>
          <a:prstGeom prst="rect">
            <a:avLst/>
          </a:prstGeom>
          <a:solidFill>
            <a:schemeClr val="accent4">
              <a:lumMod val="20000"/>
              <a:lumOff val="80000"/>
            </a:schemeClr>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81CBFDE-4143-4391-9E0C-67A6B22E4358}" type="TxLink">
              <a:rPr lang="en-US" sz="2800" b="0" i="0" u="none" strike="noStrike">
                <a:solidFill>
                  <a:srgbClr val="000000"/>
                </a:solidFill>
                <a:latin typeface="Aptos Black" panose="020B0004020202020204" pitchFamily="34" charset="0"/>
                <a:ea typeface="+mn-ea"/>
                <a:cs typeface="+mn-cs"/>
              </a:rPr>
              <a:pPr marL="0" indent="0" algn="ctr"/>
              <a:t>100</a:t>
            </a:fld>
            <a:endParaRPr lang="en-MY" sz="2800" b="0" i="0" u="none" strike="noStrike">
              <a:solidFill>
                <a:srgbClr val="000000"/>
              </a:solidFill>
              <a:latin typeface="Aptos Black" panose="020B0004020202020204" pitchFamily="34" charset="0"/>
              <a:ea typeface="+mn-ea"/>
              <a:cs typeface="+mn-cs"/>
            </a:endParaRPr>
          </a:p>
        </xdr:txBody>
      </xdr:sp>
      <xdr:sp macro="" textlink="">
        <xdr:nvSpPr>
          <xdr:cNvPr id="20" name="TextBox 19">
            <a:extLst>
              <a:ext uri="{FF2B5EF4-FFF2-40B4-BE49-F238E27FC236}">
                <a16:creationId xmlns:a16="http://schemas.microsoft.com/office/drawing/2014/main" id="{40257A39-E1FC-E770-34AB-41A7BDBAA648}"/>
              </a:ext>
            </a:extLst>
          </xdr:cNvPr>
          <xdr:cNvSpPr txBox="1"/>
        </xdr:nvSpPr>
        <xdr:spPr>
          <a:xfrm>
            <a:off x="4991100" y="3992880"/>
            <a:ext cx="1828800" cy="2667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Number of Restaurant</a:t>
            </a:r>
          </a:p>
        </xdr:txBody>
      </xdr:sp>
    </xdr:grpSp>
    <xdr:clientData/>
  </xdr:twoCellAnchor>
  <xdr:twoCellAnchor>
    <xdr:from>
      <xdr:col>7</xdr:col>
      <xdr:colOff>140794</xdr:colOff>
      <xdr:row>9</xdr:row>
      <xdr:rowOff>30877</xdr:rowOff>
    </xdr:from>
    <xdr:to>
      <xdr:col>10</xdr:col>
      <xdr:colOff>146102</xdr:colOff>
      <xdr:row>13</xdr:row>
      <xdr:rowOff>57547</xdr:rowOff>
    </xdr:to>
    <xdr:grpSp>
      <xdr:nvGrpSpPr>
        <xdr:cNvPr id="24" name="Group 23">
          <a:extLst>
            <a:ext uri="{FF2B5EF4-FFF2-40B4-BE49-F238E27FC236}">
              <a16:creationId xmlns:a16="http://schemas.microsoft.com/office/drawing/2014/main" id="{16374B0A-321C-209E-83B9-B19C1AD15299}"/>
            </a:ext>
          </a:extLst>
        </xdr:cNvPr>
        <xdr:cNvGrpSpPr/>
      </xdr:nvGrpSpPr>
      <xdr:grpSpPr>
        <a:xfrm>
          <a:off x="5661484" y="1587608"/>
          <a:ext cx="2085395" cy="717493"/>
          <a:chOff x="7290757" y="3474720"/>
          <a:chExt cx="1838003" cy="762000"/>
        </a:xfrm>
      </xdr:grpSpPr>
      <xdr:sp macro="" textlink="Model_1_Quantitative!D5">
        <xdr:nvSpPr>
          <xdr:cNvPr id="22" name="Rectangle 21">
            <a:extLst>
              <a:ext uri="{FF2B5EF4-FFF2-40B4-BE49-F238E27FC236}">
                <a16:creationId xmlns:a16="http://schemas.microsoft.com/office/drawing/2014/main" id="{4F7C807B-3DFE-59A1-6392-E03DAD37F052}"/>
              </a:ext>
            </a:extLst>
          </xdr:cNvPr>
          <xdr:cNvSpPr/>
        </xdr:nvSpPr>
        <xdr:spPr>
          <a:xfrm>
            <a:off x="7290757" y="3474720"/>
            <a:ext cx="1822763" cy="762000"/>
          </a:xfrm>
          <a:prstGeom prst="rect">
            <a:avLst/>
          </a:prstGeom>
          <a:solidFill>
            <a:schemeClr val="accent4">
              <a:lumMod val="20000"/>
              <a:lumOff val="80000"/>
            </a:schemeClr>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D8EF00D-0C58-4868-B8A9-6369D514860F}" type="TxLink">
              <a:rPr lang="en-US" sz="2800" b="0" i="0" u="none" strike="noStrike">
                <a:solidFill>
                  <a:srgbClr val="000000"/>
                </a:solidFill>
                <a:latin typeface="Aptos Black" panose="020B0004020202020204" pitchFamily="34" charset="0"/>
                <a:ea typeface="+mn-ea"/>
                <a:cs typeface="+mn-cs"/>
              </a:rPr>
              <a:pPr marL="0" indent="0" algn="ctr"/>
              <a:t>18.3669</a:t>
            </a:fld>
            <a:endParaRPr lang="en-MY" sz="2800" b="0" i="0" u="none" strike="noStrike">
              <a:solidFill>
                <a:srgbClr val="000000"/>
              </a:solidFill>
              <a:latin typeface="Aptos Black" panose="020B0004020202020204" pitchFamily="34" charset="0"/>
              <a:ea typeface="+mn-ea"/>
              <a:cs typeface="+mn-cs"/>
            </a:endParaRPr>
          </a:p>
        </xdr:txBody>
      </xdr:sp>
      <xdr:sp macro="" textlink="">
        <xdr:nvSpPr>
          <xdr:cNvPr id="23" name="TextBox 22">
            <a:extLst>
              <a:ext uri="{FF2B5EF4-FFF2-40B4-BE49-F238E27FC236}">
                <a16:creationId xmlns:a16="http://schemas.microsoft.com/office/drawing/2014/main" id="{9E6A7368-E663-D971-2D07-9A4703F5E2E4}"/>
              </a:ext>
            </a:extLst>
          </xdr:cNvPr>
          <xdr:cNvSpPr txBox="1"/>
        </xdr:nvSpPr>
        <xdr:spPr>
          <a:xfrm>
            <a:off x="7299960" y="3474720"/>
            <a:ext cx="1828800" cy="2667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Average Meal Price</a:t>
            </a:r>
          </a:p>
        </xdr:txBody>
      </xdr:sp>
    </xdr:grpSp>
    <xdr:clientData/>
  </xdr:twoCellAnchor>
  <xdr:twoCellAnchor>
    <xdr:from>
      <xdr:col>0</xdr:col>
      <xdr:colOff>558021</xdr:colOff>
      <xdr:row>40</xdr:row>
      <xdr:rowOff>141514</xdr:rowOff>
    </xdr:from>
    <xdr:to>
      <xdr:col>6</xdr:col>
      <xdr:colOff>291934</xdr:colOff>
      <xdr:row>59</xdr:row>
      <xdr:rowOff>102307</xdr:rowOff>
    </xdr:to>
    <xdr:graphicFrame macro="">
      <xdr:nvGraphicFramePr>
        <xdr:cNvPr id="39" name="Chart 38">
          <a:extLst>
            <a:ext uri="{FF2B5EF4-FFF2-40B4-BE49-F238E27FC236}">
              <a16:creationId xmlns:a16="http://schemas.microsoft.com/office/drawing/2014/main" id="{44BD5A04-0D50-4F88-AB05-F5D61CEE2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15369</xdr:colOff>
      <xdr:row>41</xdr:row>
      <xdr:rowOff>91569</xdr:rowOff>
    </xdr:from>
    <xdr:to>
      <xdr:col>23</xdr:col>
      <xdr:colOff>141514</xdr:colOff>
      <xdr:row>59</xdr:row>
      <xdr:rowOff>65314</xdr:rowOff>
    </xdr:to>
    <xdr:graphicFrame macro="">
      <xdr:nvGraphicFramePr>
        <xdr:cNvPr id="5" name="Chart 4">
          <a:extLst>
            <a:ext uri="{FF2B5EF4-FFF2-40B4-BE49-F238E27FC236}">
              <a16:creationId xmlns:a16="http://schemas.microsoft.com/office/drawing/2014/main" id="{767673F7-2D7D-4332-8A8C-7A7A9C86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541317</xdr:colOff>
      <xdr:row>6</xdr:row>
      <xdr:rowOff>20163</xdr:rowOff>
    </xdr:from>
    <xdr:to>
      <xdr:col>2</xdr:col>
      <xdr:colOff>902630</xdr:colOff>
      <xdr:row>8</xdr:row>
      <xdr:rowOff>13087</xdr:rowOff>
    </xdr:to>
    <xdr:sp macro="" textlink="">
      <xdr:nvSpPr>
        <xdr:cNvPr id="6" name="TextBox 5">
          <a:extLst>
            <a:ext uri="{FF2B5EF4-FFF2-40B4-BE49-F238E27FC236}">
              <a16:creationId xmlns:a16="http://schemas.microsoft.com/office/drawing/2014/main" id="{F6A89FA6-477F-74FB-8A8F-06B13DFF85B0}"/>
            </a:ext>
          </a:extLst>
        </xdr:cNvPr>
        <xdr:cNvSpPr txBox="1"/>
      </xdr:nvSpPr>
      <xdr:spPr>
        <a:xfrm>
          <a:off x="541317" y="1111792"/>
          <a:ext cx="1827521" cy="356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2400" b="1">
              <a:solidFill>
                <a:schemeClr val="tx1">
                  <a:lumMod val="85000"/>
                  <a:lumOff val="15000"/>
                </a:schemeClr>
              </a:solidFill>
              <a:latin typeface="Aptos Black" panose="020B0004020202020204" pitchFamily="34" charset="0"/>
            </a:rPr>
            <a:t>KPI Ribbon</a:t>
          </a:r>
        </a:p>
      </xdr:txBody>
    </xdr:sp>
    <xdr:clientData/>
  </xdr:twoCellAnchor>
  <xdr:twoCellAnchor>
    <xdr:from>
      <xdr:col>1</xdr:col>
      <xdr:colOff>75126</xdr:colOff>
      <xdr:row>17</xdr:row>
      <xdr:rowOff>64395</xdr:rowOff>
    </xdr:from>
    <xdr:to>
      <xdr:col>18</xdr:col>
      <xdr:colOff>300507</xdr:colOff>
      <xdr:row>37</xdr:row>
      <xdr:rowOff>160986</xdr:rowOff>
    </xdr:to>
    <xdr:graphicFrame macro="">
      <xdr:nvGraphicFramePr>
        <xdr:cNvPr id="2" name="Chart 1">
          <a:extLst>
            <a:ext uri="{FF2B5EF4-FFF2-40B4-BE49-F238E27FC236}">
              <a16:creationId xmlns:a16="http://schemas.microsoft.com/office/drawing/2014/main" id="{CB9AF617-FC48-95BC-1E43-167B32B17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281617</xdr:colOff>
      <xdr:row>20</xdr:row>
      <xdr:rowOff>135121</xdr:rowOff>
    </xdr:from>
    <xdr:to>
      <xdr:col>22</xdr:col>
      <xdr:colOff>282798</xdr:colOff>
      <xdr:row>34</xdr:row>
      <xdr:rowOff>171611</xdr:rowOff>
    </xdr:to>
    <mc:AlternateContent xmlns:mc="http://schemas.openxmlformats.org/markup-compatibility/2006" xmlns:a14="http://schemas.microsoft.com/office/drawing/2010/main">
      <mc:Choice Requires="a14">
        <xdr:graphicFrame macro="">
          <xdr:nvGraphicFramePr>
            <xdr:cNvPr id="3" name="location_type">
              <a:extLst>
                <a:ext uri="{FF2B5EF4-FFF2-40B4-BE49-F238E27FC236}">
                  <a16:creationId xmlns:a16="http://schemas.microsoft.com/office/drawing/2014/main" id="{D7A92FE5-D0DF-2AB3-D6DC-03FF80B2EF14}"/>
                </a:ext>
              </a:extLst>
            </xdr:cNvPr>
            <xdr:cNvGraphicFramePr/>
          </xdr:nvGraphicFramePr>
          <xdr:xfrm>
            <a:off x="0" y="0"/>
            <a:ext cx="0" cy="0"/>
          </xdr:xfrm>
          <a:graphic>
            <a:graphicData uri="http://schemas.microsoft.com/office/drawing/2010/slicer">
              <sle:slicer xmlns:sle="http://schemas.microsoft.com/office/drawing/2010/slicer" name="location_type"/>
            </a:graphicData>
          </a:graphic>
        </xdr:graphicFrame>
      </mc:Choice>
      <mc:Fallback xmlns="">
        <xdr:sp macro="" textlink="">
          <xdr:nvSpPr>
            <xdr:cNvPr id="0" name=""/>
            <xdr:cNvSpPr>
              <a:spLocks noTextEdit="1"/>
            </xdr:cNvSpPr>
          </xdr:nvSpPr>
          <xdr:spPr>
            <a:xfrm>
              <a:off x="14203236" y="3763692"/>
              <a:ext cx="1819277" cy="257268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1317083</xdr:colOff>
      <xdr:row>69</xdr:row>
      <xdr:rowOff>103693</xdr:rowOff>
    </xdr:from>
    <xdr:to>
      <xdr:col>10</xdr:col>
      <xdr:colOff>41965</xdr:colOff>
      <xdr:row>84</xdr:row>
      <xdr:rowOff>142953</xdr:rowOff>
    </xdr:to>
    <xdr:graphicFrame macro="">
      <xdr:nvGraphicFramePr>
        <xdr:cNvPr id="15" name="Chart 14">
          <a:extLst>
            <a:ext uri="{FF2B5EF4-FFF2-40B4-BE49-F238E27FC236}">
              <a16:creationId xmlns:a16="http://schemas.microsoft.com/office/drawing/2014/main" id="{C8E8732B-2BB1-5F28-EE19-CEE21DC6B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381561</xdr:colOff>
      <xdr:row>18</xdr:row>
      <xdr:rowOff>217393</xdr:rowOff>
    </xdr:from>
    <xdr:to>
      <xdr:col>14</xdr:col>
      <xdr:colOff>377210</xdr:colOff>
      <xdr:row>36</xdr:row>
      <xdr:rowOff>26894</xdr:rowOff>
    </xdr:to>
    <xdr:graphicFrame macro="">
      <xdr:nvGraphicFramePr>
        <xdr:cNvPr id="2" name="Chart 1">
          <a:extLst>
            <a:ext uri="{FF2B5EF4-FFF2-40B4-BE49-F238E27FC236}">
              <a16:creationId xmlns:a16="http://schemas.microsoft.com/office/drawing/2014/main" id="{04AB0F4D-71AB-4132-968B-432838B91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58238</xdr:colOff>
      <xdr:row>59</xdr:row>
      <xdr:rowOff>68580</xdr:rowOff>
    </xdr:from>
    <xdr:to>
      <xdr:col>12</xdr:col>
      <xdr:colOff>109475</xdr:colOff>
      <xdr:row>74</xdr:row>
      <xdr:rowOff>67445</xdr:rowOff>
    </xdr:to>
    <xdr:graphicFrame macro="">
      <xdr:nvGraphicFramePr>
        <xdr:cNvPr id="34" name="Chart 33">
          <a:extLst>
            <a:ext uri="{FF2B5EF4-FFF2-40B4-BE49-F238E27FC236}">
              <a16:creationId xmlns:a16="http://schemas.microsoft.com/office/drawing/2014/main" id="{8EFB8223-E2AF-CEA6-901B-C5F6A0233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770965</xdr:colOff>
      <xdr:row>2</xdr:row>
      <xdr:rowOff>89646</xdr:rowOff>
    </xdr:from>
    <xdr:to>
      <xdr:col>17</xdr:col>
      <xdr:colOff>240254</xdr:colOff>
      <xdr:row>17</xdr:row>
      <xdr:rowOff>149486</xdr:rowOff>
    </xdr:to>
    <xdr:graphicFrame macro="">
      <xdr:nvGraphicFramePr>
        <xdr:cNvPr id="7" name="Chart 6">
          <a:extLst>
            <a:ext uri="{FF2B5EF4-FFF2-40B4-BE49-F238E27FC236}">
              <a16:creationId xmlns:a16="http://schemas.microsoft.com/office/drawing/2014/main" id="{DA6F5969-E3B5-4EEF-9B56-2AB8C573F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6047</xdr:colOff>
      <xdr:row>66</xdr:row>
      <xdr:rowOff>70690</xdr:rowOff>
    </xdr:from>
    <xdr:to>
      <xdr:col>12</xdr:col>
      <xdr:colOff>142911</xdr:colOff>
      <xdr:row>81</xdr:row>
      <xdr:rowOff>98664</xdr:rowOff>
    </xdr:to>
    <xdr:graphicFrame macro="">
      <xdr:nvGraphicFramePr>
        <xdr:cNvPr id="8" name="Chart 7">
          <a:extLst>
            <a:ext uri="{FF2B5EF4-FFF2-40B4-BE49-F238E27FC236}">
              <a16:creationId xmlns:a16="http://schemas.microsoft.com/office/drawing/2014/main" id="{137D22AF-65E9-42D4-94ED-8CFAF3356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n Jia Bao" refreshedDate="46037.63954733796" createdVersion="8" refreshedVersion="8" minRefreshableVersion="3" recordCount="100" xr:uid="{10661840-EBEB-4C61-96D0-09691D233A43}">
  <cacheSource type="worksheet">
    <worksheetSource ref="A1:W101" sheet="rawdata"/>
  </cacheSource>
  <cacheFields count="23">
    <cacheField name="location_type" numFmtId="0">
      <sharedItems count="4">
        <s v="Strip_Mall"/>
        <s v="Suburban"/>
        <s v="Mall"/>
        <s v="Downtown"/>
      </sharedItems>
    </cacheField>
    <cacheField name="cuisine_type" numFmtId="0">
      <sharedItems count="5">
        <s v="Asian"/>
        <s v="American"/>
        <s v="Italian"/>
        <s v="Mexican"/>
        <s v="Fast_Food"/>
      </sharedItems>
    </cacheField>
    <cacheField name="restaurant_size" numFmtId="0">
      <sharedItems/>
    </cacheField>
    <cacheField name="has_parking" numFmtId="0">
      <sharedItems/>
    </cacheField>
    <cacheField name="has_delivery" numFmtId="0">
      <sharedItems/>
    </cacheField>
    <cacheField name="seating_capacity" numFmtId="0">
      <sharedItems containsSemiMixedTypes="0" containsString="0" containsNumber="1" containsInteger="1" minValue="20" maxValue="136"/>
    </cacheField>
    <cacheField name="avg_meal_price" numFmtId="0">
      <sharedItems containsSemiMixedTypes="0" containsString="0" containsNumber="1" minValue="8" maxValue="37.380000000000003"/>
    </cacheField>
    <cacheField name="years_in_business" numFmtId="0">
      <sharedItems containsSemiMixedTypes="0" containsString="0" containsNumber="1" minValue="0.5" maxValue="25"/>
    </cacheField>
    <cacheField name="staff_count" numFmtId="0">
      <sharedItems containsSemiMixedTypes="0" containsString="0" containsNumber="1" containsInteger="1" minValue="10" maxValue="30"/>
    </cacheField>
    <cacheField name="marketing_spend" numFmtId="0">
      <sharedItems containsSemiMixedTypes="0" containsString="0" containsNumber="1" containsInteger="1" minValue="500" maxValue="15000"/>
    </cacheField>
    <cacheField name="customer_rating" numFmtId="0">
      <sharedItems containsSemiMixedTypes="0" containsString="0" containsNumber="1" minValue="2.66" maxValue="4.97"/>
    </cacheField>
    <cacheField name="location_type_Strip_Mall" numFmtId="0">
      <sharedItems containsSemiMixedTypes="0" containsString="0" containsNumber="1" containsInteger="1" minValue="0" maxValue="1"/>
    </cacheField>
    <cacheField name="location_type_Mall" numFmtId="0">
      <sharedItems containsSemiMixedTypes="0" containsString="0" containsNumber="1" containsInteger="1" minValue="0" maxValue="1"/>
    </cacheField>
    <cacheField name="location_type_Downtown" numFmtId="0">
      <sharedItems containsSemiMixedTypes="0" containsString="0" containsNumber="1" containsInteger="1" minValue="0" maxValue="1"/>
    </cacheField>
    <cacheField name="cuisine_type_Asian" numFmtId="0">
      <sharedItems containsSemiMixedTypes="0" containsString="0" containsNumber="1" containsInteger="1" minValue="0" maxValue="1"/>
    </cacheField>
    <cacheField name="cuisine_type_American" numFmtId="0">
      <sharedItems containsSemiMixedTypes="0" containsString="0" containsNumber="1" containsInteger="1" minValue="0" maxValue="1"/>
    </cacheField>
    <cacheField name="cuisine_type_Italian" numFmtId="0">
      <sharedItems containsSemiMixedTypes="0" containsString="0" containsNumber="1" containsInteger="1" minValue="0" maxValue="1"/>
    </cacheField>
    <cacheField name="cuisine_type_Mexican" numFmtId="0">
      <sharedItems containsSemiMixedTypes="0" containsString="0" containsNumber="1" containsInteger="1" minValue="0" maxValue="1"/>
    </cacheField>
    <cacheField name="restaurant_size_Small" numFmtId="0">
      <sharedItems containsSemiMixedTypes="0" containsString="0" containsNumber="1" containsInteger="1" minValue="0" maxValue="1"/>
    </cacheField>
    <cacheField name="restaurant_size_Medium" numFmtId="0">
      <sharedItems containsSemiMixedTypes="0" containsString="0" containsNumber="1" containsInteger="1" minValue="0" maxValue="1"/>
    </cacheField>
    <cacheField name="has_parking_Yes" numFmtId="0">
      <sharedItems containsSemiMixedTypes="0" containsString="0" containsNumber="1" containsInteger="1" minValue="0" maxValue="1"/>
    </cacheField>
    <cacheField name="has_delivery_Yes" numFmtId="0">
      <sharedItems containsSemiMixedTypes="0" containsString="0" containsNumber="1" containsInteger="1" minValue="0" maxValue="1"/>
    </cacheField>
    <cacheField name="monthly_revenue" numFmtId="0">
      <sharedItems containsSemiMixedTypes="0" containsString="0" containsNumber="1" containsInteger="1" minValue="23275" maxValue="247337"/>
    </cacheField>
  </cacheFields>
  <extLst>
    <ext xmlns:x14="http://schemas.microsoft.com/office/spreadsheetml/2009/9/main" uri="{725AE2AE-9491-48be-B2B4-4EB974FC3084}">
      <x14:pivotCacheDefinition pivotCacheId="603007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Large"/>
    <s v="Yes"/>
    <s v="Yes"/>
    <n v="48"/>
    <n v="23.79"/>
    <n v="13.1"/>
    <n v="11"/>
    <n v="1380"/>
    <n v="4.7300000000000004"/>
    <n v="1"/>
    <n v="0"/>
    <n v="0"/>
    <n v="1"/>
    <n v="0"/>
    <n v="0"/>
    <n v="0"/>
    <n v="0"/>
    <n v="0"/>
    <n v="1"/>
    <n v="1"/>
    <n v="83079"/>
  </r>
  <r>
    <x v="0"/>
    <x v="1"/>
    <s v="Small"/>
    <s v="Yes"/>
    <s v="Yes"/>
    <n v="76"/>
    <n v="11.34"/>
    <n v="14.8"/>
    <n v="18"/>
    <n v="2439"/>
    <n v="4.75"/>
    <n v="1"/>
    <n v="0"/>
    <n v="0"/>
    <n v="0"/>
    <n v="1"/>
    <n v="0"/>
    <n v="0"/>
    <n v="1"/>
    <n v="0"/>
    <n v="1"/>
    <n v="1"/>
    <n v="31459"/>
  </r>
  <r>
    <x v="1"/>
    <x v="1"/>
    <s v="Large"/>
    <s v="Yes"/>
    <s v="No"/>
    <n v="45"/>
    <n v="23.86"/>
    <n v="6.5"/>
    <n v="22"/>
    <n v="1918"/>
    <n v="4.54"/>
    <n v="0"/>
    <n v="0"/>
    <n v="0"/>
    <n v="0"/>
    <n v="1"/>
    <n v="0"/>
    <n v="0"/>
    <n v="0"/>
    <n v="0"/>
    <n v="1"/>
    <n v="0"/>
    <n v="133797"/>
  </r>
  <r>
    <x v="0"/>
    <x v="2"/>
    <s v="Small"/>
    <s v="Yes"/>
    <s v="Yes"/>
    <n v="80"/>
    <n v="11.02"/>
    <n v="23.2"/>
    <n v="21"/>
    <n v="3833"/>
    <n v="4.34"/>
    <n v="1"/>
    <n v="0"/>
    <n v="0"/>
    <n v="0"/>
    <n v="0"/>
    <n v="1"/>
    <n v="0"/>
    <n v="1"/>
    <n v="0"/>
    <n v="1"/>
    <n v="1"/>
    <n v="41739"/>
  </r>
  <r>
    <x v="2"/>
    <x v="3"/>
    <s v="Medium"/>
    <s v="No"/>
    <s v="No"/>
    <n v="107"/>
    <n v="14.37"/>
    <n v="0.7"/>
    <n v="28"/>
    <n v="2714"/>
    <n v="3.89"/>
    <n v="0"/>
    <n v="1"/>
    <n v="0"/>
    <n v="0"/>
    <n v="0"/>
    <n v="0"/>
    <n v="1"/>
    <n v="0"/>
    <n v="1"/>
    <n v="0"/>
    <n v="0"/>
    <n v="67946"/>
  </r>
  <r>
    <x v="3"/>
    <x v="3"/>
    <s v="Small"/>
    <s v="No"/>
    <s v="Yes"/>
    <n v="49"/>
    <n v="27.5"/>
    <n v="0.8"/>
    <n v="16"/>
    <n v="7233"/>
    <n v="4.4800000000000004"/>
    <n v="0"/>
    <n v="0"/>
    <n v="1"/>
    <n v="0"/>
    <n v="0"/>
    <n v="0"/>
    <n v="1"/>
    <n v="1"/>
    <n v="0"/>
    <n v="0"/>
    <n v="1"/>
    <n v="78876"/>
  </r>
  <r>
    <x v="2"/>
    <x v="4"/>
    <s v="Large"/>
    <s v="Yes"/>
    <s v="No"/>
    <n v="57"/>
    <n v="15.68"/>
    <n v="0.5"/>
    <n v="19"/>
    <n v="5105"/>
    <n v="3.73"/>
    <n v="0"/>
    <n v="1"/>
    <n v="0"/>
    <n v="0"/>
    <n v="0"/>
    <n v="0"/>
    <n v="0"/>
    <n v="0"/>
    <n v="0"/>
    <n v="1"/>
    <n v="0"/>
    <n v="126677"/>
  </r>
  <r>
    <x v="1"/>
    <x v="4"/>
    <s v="Small"/>
    <s v="Yes"/>
    <s v="Yes"/>
    <n v="76"/>
    <n v="24.63"/>
    <n v="11.5"/>
    <n v="23"/>
    <n v="5779"/>
    <n v="3.48"/>
    <n v="0"/>
    <n v="0"/>
    <n v="0"/>
    <n v="0"/>
    <n v="0"/>
    <n v="0"/>
    <n v="0"/>
    <n v="1"/>
    <n v="0"/>
    <n v="1"/>
    <n v="1"/>
    <n v="77981"/>
  </r>
  <r>
    <x v="2"/>
    <x v="0"/>
    <s v="Medium"/>
    <s v="Yes"/>
    <s v="Yes"/>
    <n v="50"/>
    <n v="15.67"/>
    <n v="2.6"/>
    <n v="14"/>
    <n v="1841"/>
    <n v="3.12"/>
    <n v="0"/>
    <n v="1"/>
    <n v="0"/>
    <n v="1"/>
    <n v="0"/>
    <n v="0"/>
    <n v="0"/>
    <n v="0"/>
    <n v="1"/>
    <n v="1"/>
    <n v="1"/>
    <n v="50296"/>
  </r>
  <r>
    <x v="2"/>
    <x v="1"/>
    <s v="Medium"/>
    <s v="Yes"/>
    <s v="Yes"/>
    <n v="65"/>
    <n v="8"/>
    <n v="2.6"/>
    <n v="16"/>
    <n v="1107"/>
    <n v="3.83"/>
    <n v="0"/>
    <n v="1"/>
    <n v="0"/>
    <n v="0"/>
    <n v="1"/>
    <n v="0"/>
    <n v="0"/>
    <n v="0"/>
    <n v="1"/>
    <n v="1"/>
    <n v="1"/>
    <n v="38302"/>
  </r>
  <r>
    <x v="3"/>
    <x v="0"/>
    <s v="Small"/>
    <s v="Yes"/>
    <s v="Yes"/>
    <n v="97"/>
    <n v="11.21"/>
    <n v="0.5"/>
    <n v="19"/>
    <n v="14299"/>
    <n v="4.6500000000000004"/>
    <n v="0"/>
    <n v="0"/>
    <n v="1"/>
    <n v="1"/>
    <n v="0"/>
    <n v="0"/>
    <n v="0"/>
    <n v="1"/>
    <n v="0"/>
    <n v="1"/>
    <n v="1"/>
    <n v="58721"/>
  </r>
  <r>
    <x v="2"/>
    <x v="4"/>
    <s v="Small"/>
    <s v="No"/>
    <s v="Yes"/>
    <n v="99"/>
    <n v="9.2899999999999991"/>
    <n v="0.5"/>
    <n v="20"/>
    <n v="4955"/>
    <n v="3.64"/>
    <n v="0"/>
    <n v="1"/>
    <n v="0"/>
    <n v="0"/>
    <n v="0"/>
    <n v="0"/>
    <n v="0"/>
    <n v="1"/>
    <n v="0"/>
    <n v="0"/>
    <n v="1"/>
    <n v="38720"/>
  </r>
  <r>
    <x v="0"/>
    <x v="4"/>
    <s v="Medium"/>
    <s v="Yes"/>
    <s v="Yes"/>
    <n v="85"/>
    <n v="14.13"/>
    <n v="0.5"/>
    <n v="22"/>
    <n v="1716"/>
    <n v="4.5"/>
    <n v="1"/>
    <n v="0"/>
    <n v="0"/>
    <n v="0"/>
    <n v="0"/>
    <n v="0"/>
    <n v="0"/>
    <n v="0"/>
    <n v="1"/>
    <n v="1"/>
    <n v="1"/>
    <n v="50667"/>
  </r>
  <r>
    <x v="1"/>
    <x v="0"/>
    <s v="Medium"/>
    <s v="Yes"/>
    <s v="No"/>
    <n v="29"/>
    <n v="15.31"/>
    <n v="8.1999999999999993"/>
    <n v="14"/>
    <n v="1298"/>
    <n v="3.39"/>
    <n v="0"/>
    <n v="0"/>
    <n v="0"/>
    <n v="1"/>
    <n v="0"/>
    <n v="0"/>
    <n v="0"/>
    <n v="0"/>
    <n v="1"/>
    <n v="1"/>
    <n v="0"/>
    <n v="37572"/>
  </r>
  <r>
    <x v="3"/>
    <x v="0"/>
    <s v="Small"/>
    <s v="Yes"/>
    <s v="Yes"/>
    <n v="74"/>
    <n v="16.77"/>
    <n v="5.0999999999999996"/>
    <n v="20"/>
    <n v="1761"/>
    <n v="3.9"/>
    <n v="0"/>
    <n v="0"/>
    <n v="1"/>
    <n v="1"/>
    <n v="0"/>
    <n v="0"/>
    <n v="0"/>
    <n v="1"/>
    <n v="0"/>
    <n v="1"/>
    <n v="1"/>
    <n v="64036"/>
  </r>
  <r>
    <x v="0"/>
    <x v="0"/>
    <s v="Large"/>
    <s v="No"/>
    <s v="Yes"/>
    <n v="102"/>
    <n v="16.05"/>
    <n v="2.7"/>
    <n v="25"/>
    <n v="3752"/>
    <n v="3.88"/>
    <n v="1"/>
    <n v="0"/>
    <n v="0"/>
    <n v="1"/>
    <n v="0"/>
    <n v="0"/>
    <n v="0"/>
    <n v="0"/>
    <n v="0"/>
    <n v="0"/>
    <n v="1"/>
    <n v="98911"/>
  </r>
  <r>
    <x v="0"/>
    <x v="1"/>
    <s v="Small"/>
    <s v="Yes"/>
    <s v="Yes"/>
    <n v="95"/>
    <n v="33.14"/>
    <n v="12.8"/>
    <n v="18"/>
    <n v="9864"/>
    <n v="4.25"/>
    <n v="1"/>
    <n v="0"/>
    <n v="0"/>
    <n v="0"/>
    <n v="1"/>
    <n v="0"/>
    <n v="0"/>
    <n v="1"/>
    <n v="0"/>
    <n v="1"/>
    <n v="1"/>
    <n v="65485"/>
  </r>
  <r>
    <x v="1"/>
    <x v="2"/>
    <s v="Medium"/>
    <s v="Yes"/>
    <s v="No"/>
    <n v="70"/>
    <n v="8"/>
    <n v="17.5"/>
    <n v="20"/>
    <n v="1524"/>
    <n v="3.72"/>
    <n v="0"/>
    <n v="0"/>
    <n v="0"/>
    <n v="0"/>
    <n v="0"/>
    <n v="1"/>
    <n v="0"/>
    <n v="0"/>
    <n v="1"/>
    <n v="1"/>
    <n v="0"/>
    <n v="57547"/>
  </r>
  <r>
    <x v="3"/>
    <x v="0"/>
    <s v="Small"/>
    <s v="No"/>
    <s v="Yes"/>
    <n v="20"/>
    <n v="14.68"/>
    <n v="5.0999999999999996"/>
    <n v="14"/>
    <n v="1019"/>
    <n v="4.34"/>
    <n v="0"/>
    <n v="0"/>
    <n v="1"/>
    <n v="1"/>
    <n v="0"/>
    <n v="0"/>
    <n v="0"/>
    <n v="1"/>
    <n v="0"/>
    <n v="0"/>
    <n v="1"/>
    <n v="43305"/>
  </r>
  <r>
    <x v="3"/>
    <x v="4"/>
    <s v="Large"/>
    <s v="No"/>
    <s v="Yes"/>
    <n v="77"/>
    <n v="20.79"/>
    <n v="8.6999999999999993"/>
    <n v="22"/>
    <n v="5596"/>
    <n v="4.1100000000000003"/>
    <n v="0"/>
    <n v="0"/>
    <n v="1"/>
    <n v="0"/>
    <n v="0"/>
    <n v="0"/>
    <n v="0"/>
    <n v="0"/>
    <n v="0"/>
    <n v="0"/>
    <n v="1"/>
    <n v="232925"/>
  </r>
  <r>
    <x v="0"/>
    <x v="2"/>
    <s v="Small"/>
    <s v="Yes"/>
    <s v="Yes"/>
    <n v="89"/>
    <n v="31.03"/>
    <n v="11.2"/>
    <n v="21"/>
    <n v="2926"/>
    <n v="4.62"/>
    <n v="1"/>
    <n v="0"/>
    <n v="0"/>
    <n v="0"/>
    <n v="0"/>
    <n v="1"/>
    <n v="0"/>
    <n v="1"/>
    <n v="0"/>
    <n v="1"/>
    <n v="1"/>
    <n v="67276"/>
  </r>
  <r>
    <x v="1"/>
    <x v="2"/>
    <s v="Medium"/>
    <s v="Yes"/>
    <s v="Yes"/>
    <n v="76"/>
    <n v="18.71"/>
    <n v="5.4"/>
    <n v="22"/>
    <n v="646"/>
    <n v="3.71"/>
    <n v="0"/>
    <n v="0"/>
    <n v="0"/>
    <n v="0"/>
    <n v="0"/>
    <n v="1"/>
    <n v="0"/>
    <n v="0"/>
    <n v="1"/>
    <n v="1"/>
    <n v="1"/>
    <n v="82325"/>
  </r>
  <r>
    <x v="0"/>
    <x v="0"/>
    <s v="Small"/>
    <s v="Yes"/>
    <s v="No"/>
    <n v="79"/>
    <n v="27.91"/>
    <n v="2.6"/>
    <n v="19"/>
    <n v="2261"/>
    <n v="4.33"/>
    <n v="1"/>
    <n v="0"/>
    <n v="0"/>
    <n v="1"/>
    <n v="0"/>
    <n v="0"/>
    <n v="0"/>
    <n v="1"/>
    <n v="0"/>
    <n v="1"/>
    <n v="0"/>
    <n v="41603"/>
  </r>
  <r>
    <x v="0"/>
    <x v="0"/>
    <s v="Large"/>
    <s v="Yes"/>
    <s v="No"/>
    <n v="86"/>
    <n v="8"/>
    <n v="6.2"/>
    <n v="19"/>
    <n v="1259"/>
    <n v="4.72"/>
    <n v="1"/>
    <n v="0"/>
    <n v="0"/>
    <n v="1"/>
    <n v="0"/>
    <n v="0"/>
    <n v="0"/>
    <n v="0"/>
    <n v="0"/>
    <n v="1"/>
    <n v="0"/>
    <n v="64537"/>
  </r>
  <r>
    <x v="1"/>
    <x v="4"/>
    <s v="Medium"/>
    <s v="Yes"/>
    <s v="Yes"/>
    <n v="65"/>
    <n v="29.57"/>
    <n v="25"/>
    <n v="18"/>
    <n v="8873"/>
    <n v="3.88"/>
    <n v="0"/>
    <n v="0"/>
    <n v="0"/>
    <n v="0"/>
    <n v="0"/>
    <n v="0"/>
    <n v="0"/>
    <n v="0"/>
    <n v="1"/>
    <n v="1"/>
    <n v="1"/>
    <n v="135153"/>
  </r>
  <r>
    <x v="3"/>
    <x v="2"/>
    <s v="Large"/>
    <s v="No"/>
    <s v="Yes"/>
    <n v="108"/>
    <n v="12.48"/>
    <n v="11"/>
    <n v="30"/>
    <n v="3914"/>
    <n v="4.68"/>
    <n v="0"/>
    <n v="0"/>
    <n v="1"/>
    <n v="0"/>
    <n v="0"/>
    <n v="1"/>
    <n v="0"/>
    <n v="0"/>
    <n v="0"/>
    <n v="0"/>
    <n v="1"/>
    <n v="247337"/>
  </r>
  <r>
    <x v="3"/>
    <x v="3"/>
    <s v="Medium"/>
    <s v="Yes"/>
    <s v="Yes"/>
    <n v="87"/>
    <n v="15.79"/>
    <n v="5.4"/>
    <n v="22"/>
    <n v="3709"/>
    <n v="4.8"/>
    <n v="0"/>
    <n v="0"/>
    <n v="1"/>
    <n v="0"/>
    <n v="0"/>
    <n v="0"/>
    <n v="1"/>
    <n v="0"/>
    <n v="1"/>
    <n v="1"/>
    <n v="1"/>
    <n v="86948"/>
  </r>
  <r>
    <x v="0"/>
    <x v="3"/>
    <s v="Medium"/>
    <s v="No"/>
    <s v="Yes"/>
    <n v="44"/>
    <n v="9.1199999999999992"/>
    <n v="6.7"/>
    <n v="16"/>
    <n v="500"/>
    <n v="4.62"/>
    <n v="1"/>
    <n v="0"/>
    <n v="0"/>
    <n v="0"/>
    <n v="0"/>
    <n v="0"/>
    <n v="1"/>
    <n v="0"/>
    <n v="1"/>
    <n v="0"/>
    <n v="1"/>
    <n v="29283"/>
  </r>
  <r>
    <x v="3"/>
    <x v="1"/>
    <s v="Medium"/>
    <s v="No"/>
    <s v="No"/>
    <n v="110"/>
    <n v="19.07"/>
    <n v="4.7"/>
    <n v="21"/>
    <n v="1871"/>
    <n v="4.68"/>
    <n v="0"/>
    <n v="0"/>
    <n v="1"/>
    <n v="0"/>
    <n v="1"/>
    <n v="0"/>
    <n v="0"/>
    <n v="0"/>
    <n v="1"/>
    <n v="0"/>
    <n v="0"/>
    <n v="63433"/>
  </r>
  <r>
    <x v="0"/>
    <x v="4"/>
    <s v="Medium"/>
    <s v="No"/>
    <s v="Yes"/>
    <n v="105"/>
    <n v="32.28"/>
    <n v="2.4"/>
    <n v="24"/>
    <n v="6292"/>
    <n v="4.4400000000000004"/>
    <n v="1"/>
    <n v="0"/>
    <n v="0"/>
    <n v="0"/>
    <n v="0"/>
    <n v="0"/>
    <n v="0"/>
    <n v="0"/>
    <n v="1"/>
    <n v="0"/>
    <n v="1"/>
    <n v="92926"/>
  </r>
  <r>
    <x v="2"/>
    <x v="3"/>
    <s v="Medium"/>
    <s v="No"/>
    <s v="Yes"/>
    <n v="96"/>
    <n v="37.380000000000003"/>
    <n v="6.2"/>
    <n v="24"/>
    <n v="2462"/>
    <n v="4.62"/>
    <n v="0"/>
    <n v="1"/>
    <n v="0"/>
    <n v="0"/>
    <n v="0"/>
    <n v="0"/>
    <n v="1"/>
    <n v="0"/>
    <n v="1"/>
    <n v="0"/>
    <n v="1"/>
    <n v="117793"/>
  </r>
  <r>
    <x v="0"/>
    <x v="0"/>
    <s v="Medium"/>
    <s v="Yes"/>
    <s v="Yes"/>
    <n v="33"/>
    <n v="9.39"/>
    <n v="1.2"/>
    <n v="18"/>
    <n v="718"/>
    <n v="4.21"/>
    <n v="1"/>
    <n v="0"/>
    <n v="0"/>
    <n v="1"/>
    <n v="0"/>
    <n v="0"/>
    <n v="0"/>
    <n v="0"/>
    <n v="1"/>
    <n v="1"/>
    <n v="1"/>
    <n v="38916"/>
  </r>
  <r>
    <x v="3"/>
    <x v="0"/>
    <s v="Medium"/>
    <s v="Yes"/>
    <s v="Yes"/>
    <n v="61"/>
    <n v="21.89"/>
    <n v="1.2"/>
    <n v="18"/>
    <n v="652"/>
    <n v="3.68"/>
    <n v="0"/>
    <n v="0"/>
    <n v="1"/>
    <n v="1"/>
    <n v="0"/>
    <n v="0"/>
    <n v="0"/>
    <n v="0"/>
    <n v="1"/>
    <n v="1"/>
    <n v="1"/>
    <n v="71817"/>
  </r>
  <r>
    <x v="2"/>
    <x v="3"/>
    <s v="Medium"/>
    <s v="Yes"/>
    <s v="Yes"/>
    <n v="91"/>
    <n v="29.11"/>
    <n v="3"/>
    <n v="19"/>
    <n v="15000"/>
    <n v="4.6399999999999997"/>
    <n v="0"/>
    <n v="1"/>
    <n v="0"/>
    <n v="0"/>
    <n v="0"/>
    <n v="0"/>
    <n v="1"/>
    <n v="0"/>
    <n v="1"/>
    <n v="1"/>
    <n v="1"/>
    <n v="119607"/>
  </r>
  <r>
    <x v="1"/>
    <x v="3"/>
    <s v="Large"/>
    <s v="Yes"/>
    <s v="No"/>
    <n v="76"/>
    <n v="16.43"/>
    <n v="1.5"/>
    <n v="23"/>
    <n v="12703"/>
    <n v="4.1399999999999997"/>
    <n v="0"/>
    <n v="0"/>
    <n v="0"/>
    <n v="0"/>
    <n v="0"/>
    <n v="0"/>
    <n v="1"/>
    <n v="0"/>
    <n v="0"/>
    <n v="1"/>
    <n v="0"/>
    <n v="93957"/>
  </r>
  <r>
    <x v="0"/>
    <x v="0"/>
    <s v="Large"/>
    <s v="Yes"/>
    <s v="Yes"/>
    <n v="84"/>
    <n v="16.25"/>
    <n v="1.8"/>
    <n v="22"/>
    <n v="1447"/>
    <n v="4.9000000000000004"/>
    <n v="1"/>
    <n v="0"/>
    <n v="0"/>
    <n v="1"/>
    <n v="0"/>
    <n v="0"/>
    <n v="0"/>
    <n v="0"/>
    <n v="0"/>
    <n v="1"/>
    <n v="1"/>
    <n v="95590"/>
  </r>
  <r>
    <x v="1"/>
    <x v="4"/>
    <s v="Medium"/>
    <s v="Yes"/>
    <s v="Yes"/>
    <n v="136"/>
    <n v="15.56"/>
    <n v="6.7"/>
    <n v="27"/>
    <n v="2305"/>
    <n v="4.1100000000000003"/>
    <n v="0"/>
    <n v="0"/>
    <n v="0"/>
    <n v="0"/>
    <n v="0"/>
    <n v="0"/>
    <n v="0"/>
    <n v="0"/>
    <n v="1"/>
    <n v="1"/>
    <n v="1"/>
    <n v="89153"/>
  </r>
  <r>
    <x v="1"/>
    <x v="1"/>
    <s v="Large"/>
    <s v="Yes"/>
    <s v="Yes"/>
    <n v="55"/>
    <n v="22.78"/>
    <n v="1.6"/>
    <n v="22"/>
    <n v="2994"/>
    <n v="3.91"/>
    <n v="0"/>
    <n v="0"/>
    <n v="0"/>
    <n v="0"/>
    <n v="1"/>
    <n v="0"/>
    <n v="0"/>
    <n v="0"/>
    <n v="0"/>
    <n v="1"/>
    <n v="1"/>
    <n v="105299"/>
  </r>
  <r>
    <x v="0"/>
    <x v="4"/>
    <s v="Small"/>
    <s v="No"/>
    <s v="Yes"/>
    <n v="22"/>
    <n v="29.18"/>
    <n v="17.600000000000001"/>
    <n v="10"/>
    <n v="792"/>
    <n v="4.6900000000000004"/>
    <n v="1"/>
    <n v="0"/>
    <n v="0"/>
    <n v="0"/>
    <n v="0"/>
    <n v="0"/>
    <n v="0"/>
    <n v="1"/>
    <n v="0"/>
    <n v="0"/>
    <n v="1"/>
    <n v="42671"/>
  </r>
  <r>
    <x v="2"/>
    <x v="0"/>
    <s v="Small"/>
    <s v="Yes"/>
    <s v="Yes"/>
    <n v="82"/>
    <n v="23.5"/>
    <n v="0.5"/>
    <n v="23"/>
    <n v="13643"/>
    <n v="3.81"/>
    <n v="0"/>
    <n v="1"/>
    <n v="0"/>
    <n v="1"/>
    <n v="0"/>
    <n v="0"/>
    <n v="0"/>
    <n v="1"/>
    <n v="0"/>
    <n v="1"/>
    <n v="1"/>
    <n v="73603"/>
  </r>
  <r>
    <x v="3"/>
    <x v="1"/>
    <s v="Medium"/>
    <s v="Yes"/>
    <s v="No"/>
    <n v="58"/>
    <n v="20.56"/>
    <n v="2.8"/>
    <n v="20"/>
    <n v="2181"/>
    <n v="4.12"/>
    <n v="0"/>
    <n v="0"/>
    <n v="1"/>
    <n v="0"/>
    <n v="1"/>
    <n v="0"/>
    <n v="0"/>
    <n v="0"/>
    <n v="1"/>
    <n v="1"/>
    <n v="0"/>
    <n v="92695"/>
  </r>
  <r>
    <x v="3"/>
    <x v="1"/>
    <s v="Small"/>
    <s v="Yes"/>
    <s v="No"/>
    <n v="86"/>
    <n v="15.59"/>
    <n v="10.1"/>
    <n v="15"/>
    <n v="3137"/>
    <n v="4.3600000000000003"/>
    <n v="0"/>
    <n v="0"/>
    <n v="1"/>
    <n v="0"/>
    <n v="1"/>
    <n v="0"/>
    <n v="0"/>
    <n v="1"/>
    <n v="0"/>
    <n v="1"/>
    <n v="0"/>
    <n v="51349"/>
  </r>
  <r>
    <x v="1"/>
    <x v="0"/>
    <s v="Medium"/>
    <s v="No"/>
    <s v="Yes"/>
    <n v="55"/>
    <n v="21.99"/>
    <n v="6.5"/>
    <n v="16"/>
    <n v="500"/>
    <n v="3.9"/>
    <n v="0"/>
    <n v="0"/>
    <n v="0"/>
    <n v="1"/>
    <n v="0"/>
    <n v="0"/>
    <n v="0"/>
    <n v="0"/>
    <n v="1"/>
    <n v="0"/>
    <n v="1"/>
    <n v="57945"/>
  </r>
  <r>
    <x v="0"/>
    <x v="4"/>
    <s v="Medium"/>
    <s v="Yes"/>
    <s v="No"/>
    <n v="130"/>
    <n v="13.6"/>
    <n v="5.5"/>
    <n v="28"/>
    <n v="3407"/>
    <n v="2.66"/>
    <n v="1"/>
    <n v="0"/>
    <n v="0"/>
    <n v="0"/>
    <n v="0"/>
    <n v="0"/>
    <n v="0"/>
    <n v="0"/>
    <n v="1"/>
    <n v="1"/>
    <n v="0"/>
    <n v="46374"/>
  </r>
  <r>
    <x v="3"/>
    <x v="4"/>
    <s v="Small"/>
    <s v="Yes"/>
    <s v="Yes"/>
    <n v="72"/>
    <n v="15.77"/>
    <n v="14.5"/>
    <n v="21"/>
    <n v="500"/>
    <n v="4.7699999999999996"/>
    <n v="0"/>
    <n v="0"/>
    <n v="1"/>
    <n v="0"/>
    <n v="0"/>
    <n v="0"/>
    <n v="0"/>
    <n v="1"/>
    <n v="0"/>
    <n v="1"/>
    <n v="1"/>
    <n v="101625"/>
  </r>
  <r>
    <x v="0"/>
    <x v="4"/>
    <s v="Small"/>
    <s v="Yes"/>
    <s v="Yes"/>
    <n v="63"/>
    <n v="26.77"/>
    <n v="6"/>
    <n v="20"/>
    <n v="853"/>
    <n v="3.67"/>
    <n v="1"/>
    <n v="0"/>
    <n v="0"/>
    <n v="0"/>
    <n v="0"/>
    <n v="0"/>
    <n v="0"/>
    <n v="1"/>
    <n v="0"/>
    <n v="1"/>
    <n v="1"/>
    <n v="43602"/>
  </r>
  <r>
    <x v="0"/>
    <x v="1"/>
    <s v="Medium"/>
    <s v="No"/>
    <s v="Yes"/>
    <n v="71"/>
    <n v="21.54"/>
    <n v="2.1"/>
    <n v="20"/>
    <n v="1465"/>
    <n v="4.47"/>
    <n v="1"/>
    <n v="0"/>
    <n v="0"/>
    <n v="0"/>
    <n v="1"/>
    <n v="0"/>
    <n v="0"/>
    <n v="0"/>
    <n v="1"/>
    <n v="0"/>
    <n v="1"/>
    <n v="40238"/>
  </r>
  <r>
    <x v="2"/>
    <x v="3"/>
    <s v="Medium"/>
    <s v="Yes"/>
    <s v="No"/>
    <n v="97"/>
    <n v="19.93"/>
    <n v="6.9"/>
    <n v="23"/>
    <n v="7065"/>
    <n v="4.45"/>
    <n v="0"/>
    <n v="1"/>
    <n v="0"/>
    <n v="0"/>
    <n v="0"/>
    <n v="0"/>
    <n v="1"/>
    <n v="0"/>
    <n v="1"/>
    <n v="1"/>
    <n v="0"/>
    <n v="77206"/>
  </r>
  <r>
    <x v="0"/>
    <x v="2"/>
    <s v="Small"/>
    <s v="No"/>
    <s v="No"/>
    <n v="77"/>
    <n v="15.96"/>
    <n v="3.6"/>
    <n v="21"/>
    <n v="1951"/>
    <n v="4.58"/>
    <n v="1"/>
    <n v="0"/>
    <n v="0"/>
    <n v="0"/>
    <n v="0"/>
    <n v="1"/>
    <n v="0"/>
    <n v="1"/>
    <n v="0"/>
    <n v="0"/>
    <n v="0"/>
    <n v="28040"/>
  </r>
  <r>
    <x v="2"/>
    <x v="1"/>
    <s v="Large"/>
    <s v="No"/>
    <s v="Yes"/>
    <n v="34"/>
    <n v="25.45"/>
    <n v="2.9"/>
    <n v="13"/>
    <n v="903"/>
    <n v="3.57"/>
    <n v="0"/>
    <n v="1"/>
    <n v="0"/>
    <n v="0"/>
    <n v="1"/>
    <n v="0"/>
    <n v="0"/>
    <n v="0"/>
    <n v="0"/>
    <n v="0"/>
    <n v="1"/>
    <n v="71524"/>
  </r>
  <r>
    <x v="1"/>
    <x v="4"/>
    <s v="Medium"/>
    <s v="Yes"/>
    <s v="Yes"/>
    <n v="75"/>
    <n v="28.68"/>
    <n v="4.3"/>
    <n v="23"/>
    <n v="1929"/>
    <n v="3.04"/>
    <n v="0"/>
    <n v="0"/>
    <n v="0"/>
    <n v="0"/>
    <n v="0"/>
    <n v="0"/>
    <n v="0"/>
    <n v="0"/>
    <n v="1"/>
    <n v="1"/>
    <n v="1"/>
    <n v="71295"/>
  </r>
  <r>
    <x v="1"/>
    <x v="2"/>
    <s v="Medium"/>
    <s v="Yes"/>
    <s v="Yes"/>
    <n v="94"/>
    <n v="11.05"/>
    <n v="7"/>
    <n v="20"/>
    <n v="3982"/>
    <n v="3.76"/>
    <n v="0"/>
    <n v="0"/>
    <n v="0"/>
    <n v="0"/>
    <n v="0"/>
    <n v="1"/>
    <n v="0"/>
    <n v="0"/>
    <n v="1"/>
    <n v="1"/>
    <n v="1"/>
    <n v="57690"/>
  </r>
  <r>
    <x v="3"/>
    <x v="4"/>
    <s v="Medium"/>
    <s v="Yes"/>
    <s v="No"/>
    <n v="76"/>
    <n v="18.440000000000001"/>
    <n v="3.9"/>
    <n v="20"/>
    <n v="663"/>
    <n v="4.9000000000000004"/>
    <n v="0"/>
    <n v="0"/>
    <n v="1"/>
    <n v="0"/>
    <n v="0"/>
    <n v="0"/>
    <n v="0"/>
    <n v="0"/>
    <n v="1"/>
    <n v="1"/>
    <n v="0"/>
    <n v="110768"/>
  </r>
  <r>
    <x v="2"/>
    <x v="2"/>
    <s v="Small"/>
    <s v="Yes"/>
    <s v="No"/>
    <n v="93"/>
    <n v="18.39"/>
    <n v="0.5"/>
    <n v="23"/>
    <n v="11078"/>
    <n v="4.6399999999999997"/>
    <n v="0"/>
    <n v="1"/>
    <n v="0"/>
    <n v="0"/>
    <n v="0"/>
    <n v="1"/>
    <n v="0"/>
    <n v="1"/>
    <n v="0"/>
    <n v="1"/>
    <n v="0"/>
    <n v="76550"/>
  </r>
  <r>
    <x v="1"/>
    <x v="4"/>
    <s v="Medium"/>
    <s v="No"/>
    <s v="Yes"/>
    <n v="71"/>
    <n v="13.37"/>
    <n v="3.2"/>
    <n v="17"/>
    <n v="2664"/>
    <n v="2.96"/>
    <n v="0"/>
    <n v="0"/>
    <n v="0"/>
    <n v="0"/>
    <n v="0"/>
    <n v="0"/>
    <n v="0"/>
    <n v="0"/>
    <n v="1"/>
    <n v="0"/>
    <n v="1"/>
    <n v="39603"/>
  </r>
  <r>
    <x v="2"/>
    <x v="4"/>
    <s v="Small"/>
    <s v="Yes"/>
    <s v="Yes"/>
    <n v="74"/>
    <n v="10.01"/>
    <n v="0.5"/>
    <n v="22"/>
    <n v="5048"/>
    <n v="4.4800000000000004"/>
    <n v="0"/>
    <n v="1"/>
    <n v="0"/>
    <n v="0"/>
    <n v="0"/>
    <n v="0"/>
    <n v="0"/>
    <n v="1"/>
    <n v="0"/>
    <n v="1"/>
    <n v="1"/>
    <n v="78015"/>
  </r>
  <r>
    <x v="2"/>
    <x v="1"/>
    <s v="Medium"/>
    <s v="Yes"/>
    <s v="Yes"/>
    <n v="87"/>
    <n v="17.98"/>
    <n v="0.5"/>
    <n v="19"/>
    <n v="15000"/>
    <n v="4.92"/>
    <n v="0"/>
    <n v="1"/>
    <n v="0"/>
    <n v="0"/>
    <n v="1"/>
    <n v="0"/>
    <n v="0"/>
    <n v="0"/>
    <n v="1"/>
    <n v="1"/>
    <n v="1"/>
    <n v="109699"/>
  </r>
  <r>
    <x v="1"/>
    <x v="1"/>
    <s v="Small"/>
    <s v="No"/>
    <s v="No"/>
    <n v="100"/>
    <n v="23.24"/>
    <n v="13.9"/>
    <n v="29"/>
    <n v="1946"/>
    <n v="3.78"/>
    <n v="0"/>
    <n v="0"/>
    <n v="0"/>
    <n v="0"/>
    <n v="1"/>
    <n v="0"/>
    <n v="0"/>
    <n v="1"/>
    <n v="0"/>
    <n v="0"/>
    <n v="0"/>
    <n v="51823"/>
  </r>
  <r>
    <x v="1"/>
    <x v="1"/>
    <s v="Small"/>
    <s v="Yes"/>
    <s v="No"/>
    <n v="44"/>
    <n v="29.81"/>
    <n v="0.5"/>
    <n v="14"/>
    <n v="4730"/>
    <n v="4.3600000000000003"/>
    <n v="0"/>
    <n v="0"/>
    <n v="0"/>
    <n v="0"/>
    <n v="1"/>
    <n v="0"/>
    <n v="0"/>
    <n v="1"/>
    <n v="0"/>
    <n v="1"/>
    <n v="0"/>
    <n v="36385"/>
  </r>
  <r>
    <x v="3"/>
    <x v="4"/>
    <s v="Small"/>
    <s v="Yes"/>
    <s v="No"/>
    <n v="74"/>
    <n v="8"/>
    <n v="0.5"/>
    <n v="21"/>
    <n v="14087"/>
    <n v="3.86"/>
    <n v="0"/>
    <n v="0"/>
    <n v="1"/>
    <n v="0"/>
    <n v="0"/>
    <n v="0"/>
    <n v="0"/>
    <n v="1"/>
    <n v="0"/>
    <n v="1"/>
    <n v="0"/>
    <n v="62925"/>
  </r>
  <r>
    <x v="2"/>
    <x v="3"/>
    <s v="Small"/>
    <s v="Yes"/>
    <s v="Yes"/>
    <n v="73"/>
    <n v="12.38"/>
    <n v="3.5"/>
    <n v="19"/>
    <n v="7734"/>
    <n v="4.83"/>
    <n v="0"/>
    <n v="1"/>
    <n v="0"/>
    <n v="0"/>
    <n v="0"/>
    <n v="0"/>
    <n v="1"/>
    <n v="1"/>
    <n v="0"/>
    <n v="1"/>
    <n v="1"/>
    <n v="53592"/>
  </r>
  <r>
    <x v="0"/>
    <x v="0"/>
    <s v="Medium"/>
    <s v="Yes"/>
    <s v="Yes"/>
    <n v="56"/>
    <n v="15.51"/>
    <n v="3.1"/>
    <n v="19"/>
    <n v="3687"/>
    <n v="4.42"/>
    <n v="1"/>
    <n v="0"/>
    <n v="0"/>
    <n v="1"/>
    <n v="0"/>
    <n v="0"/>
    <n v="0"/>
    <n v="0"/>
    <n v="1"/>
    <n v="1"/>
    <n v="1"/>
    <n v="48417"/>
  </r>
  <r>
    <x v="2"/>
    <x v="0"/>
    <s v="Medium"/>
    <s v="Yes"/>
    <s v="No"/>
    <n v="49"/>
    <n v="8"/>
    <n v="6.9"/>
    <n v="16"/>
    <n v="9917"/>
    <n v="3.99"/>
    <n v="0"/>
    <n v="1"/>
    <n v="0"/>
    <n v="1"/>
    <n v="0"/>
    <n v="0"/>
    <n v="0"/>
    <n v="0"/>
    <n v="1"/>
    <n v="1"/>
    <n v="0"/>
    <n v="67767"/>
  </r>
  <r>
    <x v="3"/>
    <x v="1"/>
    <s v="Large"/>
    <s v="No"/>
    <s v="Yes"/>
    <n v="59"/>
    <n v="12"/>
    <n v="0.6"/>
    <n v="15"/>
    <n v="2022"/>
    <n v="4.6399999999999997"/>
    <n v="0"/>
    <n v="0"/>
    <n v="1"/>
    <n v="0"/>
    <n v="1"/>
    <n v="0"/>
    <n v="0"/>
    <n v="0"/>
    <n v="0"/>
    <n v="0"/>
    <n v="1"/>
    <n v="85969"/>
  </r>
  <r>
    <x v="0"/>
    <x v="0"/>
    <s v="Small"/>
    <s v="Yes"/>
    <s v="Yes"/>
    <n v="90"/>
    <n v="11.78"/>
    <n v="8"/>
    <n v="22"/>
    <n v="1829"/>
    <n v="4.6500000000000004"/>
    <n v="1"/>
    <n v="0"/>
    <n v="0"/>
    <n v="1"/>
    <n v="0"/>
    <n v="0"/>
    <n v="0"/>
    <n v="1"/>
    <n v="0"/>
    <n v="1"/>
    <n v="1"/>
    <n v="50064"/>
  </r>
  <r>
    <x v="1"/>
    <x v="1"/>
    <s v="Medium"/>
    <s v="Yes"/>
    <s v="No"/>
    <n v="65"/>
    <n v="12.22"/>
    <n v="9.6999999999999993"/>
    <n v="16"/>
    <n v="2845"/>
    <n v="4.58"/>
    <n v="0"/>
    <n v="0"/>
    <n v="0"/>
    <n v="0"/>
    <n v="1"/>
    <n v="0"/>
    <n v="0"/>
    <n v="0"/>
    <n v="1"/>
    <n v="1"/>
    <n v="0"/>
    <n v="54041"/>
  </r>
  <r>
    <x v="1"/>
    <x v="0"/>
    <s v="Large"/>
    <s v="Yes"/>
    <s v="Yes"/>
    <n v="55"/>
    <n v="8"/>
    <n v="8.6"/>
    <n v="17"/>
    <n v="3158"/>
    <n v="4.97"/>
    <n v="0"/>
    <n v="0"/>
    <n v="0"/>
    <n v="1"/>
    <n v="0"/>
    <n v="0"/>
    <n v="0"/>
    <n v="0"/>
    <n v="0"/>
    <n v="1"/>
    <n v="1"/>
    <n v="111556"/>
  </r>
  <r>
    <x v="0"/>
    <x v="2"/>
    <s v="Medium"/>
    <s v="No"/>
    <s v="Yes"/>
    <n v="79"/>
    <n v="19.71"/>
    <n v="3.4"/>
    <n v="19"/>
    <n v="9150"/>
    <n v="3.46"/>
    <n v="1"/>
    <n v="0"/>
    <n v="0"/>
    <n v="0"/>
    <n v="0"/>
    <n v="1"/>
    <n v="0"/>
    <n v="0"/>
    <n v="1"/>
    <n v="0"/>
    <n v="1"/>
    <n v="60696"/>
  </r>
  <r>
    <x v="2"/>
    <x v="1"/>
    <s v="Large"/>
    <s v="Yes"/>
    <s v="Yes"/>
    <n v="44"/>
    <n v="12.94"/>
    <n v="11.3"/>
    <n v="15"/>
    <n v="4553"/>
    <n v="4.72"/>
    <n v="0"/>
    <n v="1"/>
    <n v="0"/>
    <n v="0"/>
    <n v="1"/>
    <n v="0"/>
    <n v="0"/>
    <n v="0"/>
    <n v="0"/>
    <n v="1"/>
    <n v="1"/>
    <n v="146468"/>
  </r>
  <r>
    <x v="1"/>
    <x v="1"/>
    <s v="Large"/>
    <s v="Yes"/>
    <s v="No"/>
    <n v="101"/>
    <n v="30.16"/>
    <n v="4.4000000000000004"/>
    <n v="24"/>
    <n v="2996"/>
    <n v="4.32"/>
    <n v="0"/>
    <n v="0"/>
    <n v="0"/>
    <n v="0"/>
    <n v="1"/>
    <n v="0"/>
    <n v="0"/>
    <n v="0"/>
    <n v="0"/>
    <n v="1"/>
    <n v="0"/>
    <n v="137630"/>
  </r>
  <r>
    <x v="1"/>
    <x v="4"/>
    <s v="Medium"/>
    <s v="Yes"/>
    <s v="Yes"/>
    <n v="63"/>
    <n v="24.37"/>
    <n v="0.5"/>
    <n v="15"/>
    <n v="2048"/>
    <n v="4.68"/>
    <n v="0"/>
    <n v="0"/>
    <n v="0"/>
    <n v="0"/>
    <n v="0"/>
    <n v="0"/>
    <n v="0"/>
    <n v="0"/>
    <n v="1"/>
    <n v="1"/>
    <n v="1"/>
    <n v="77226"/>
  </r>
  <r>
    <x v="1"/>
    <x v="2"/>
    <s v="Small"/>
    <s v="Yes"/>
    <s v="Yes"/>
    <n v="80"/>
    <n v="8"/>
    <n v="4.7"/>
    <n v="21"/>
    <n v="14656"/>
    <n v="3.71"/>
    <n v="0"/>
    <n v="0"/>
    <n v="0"/>
    <n v="0"/>
    <n v="0"/>
    <n v="1"/>
    <n v="0"/>
    <n v="1"/>
    <n v="0"/>
    <n v="1"/>
    <n v="1"/>
    <n v="50554"/>
  </r>
  <r>
    <x v="1"/>
    <x v="2"/>
    <s v="Small"/>
    <s v="No"/>
    <s v="No"/>
    <n v="76"/>
    <n v="18.79"/>
    <n v="7.1"/>
    <n v="17"/>
    <n v="587"/>
    <n v="4.3899999999999997"/>
    <n v="0"/>
    <n v="0"/>
    <n v="0"/>
    <n v="0"/>
    <n v="0"/>
    <n v="1"/>
    <n v="0"/>
    <n v="1"/>
    <n v="0"/>
    <n v="0"/>
    <n v="0"/>
    <n v="40501"/>
  </r>
  <r>
    <x v="3"/>
    <x v="0"/>
    <s v="Medium"/>
    <s v="Yes"/>
    <s v="No"/>
    <n v="75"/>
    <n v="13.25"/>
    <n v="5.9"/>
    <n v="20"/>
    <n v="1251"/>
    <n v="3.08"/>
    <n v="0"/>
    <n v="0"/>
    <n v="1"/>
    <n v="1"/>
    <n v="0"/>
    <n v="0"/>
    <n v="0"/>
    <n v="0"/>
    <n v="1"/>
    <n v="1"/>
    <n v="0"/>
    <n v="55950"/>
  </r>
  <r>
    <x v="1"/>
    <x v="2"/>
    <s v="Large"/>
    <s v="No"/>
    <s v="Yes"/>
    <n v="120"/>
    <n v="25.11"/>
    <n v="3.6"/>
    <n v="24"/>
    <n v="7343"/>
    <n v="4.8899999999999997"/>
    <n v="0"/>
    <n v="0"/>
    <n v="0"/>
    <n v="0"/>
    <n v="0"/>
    <n v="1"/>
    <n v="0"/>
    <n v="0"/>
    <n v="0"/>
    <n v="0"/>
    <n v="1"/>
    <n v="192946"/>
  </r>
  <r>
    <x v="2"/>
    <x v="1"/>
    <s v="Medium"/>
    <s v="No"/>
    <s v="Yes"/>
    <n v="54"/>
    <n v="18.420000000000002"/>
    <n v="0.6"/>
    <n v="19"/>
    <n v="634"/>
    <n v="4.51"/>
    <n v="0"/>
    <n v="1"/>
    <n v="0"/>
    <n v="0"/>
    <n v="1"/>
    <n v="0"/>
    <n v="0"/>
    <n v="0"/>
    <n v="1"/>
    <n v="0"/>
    <n v="1"/>
    <n v="62578"/>
  </r>
  <r>
    <x v="1"/>
    <x v="4"/>
    <s v="Medium"/>
    <s v="Yes"/>
    <s v="Yes"/>
    <n v="104"/>
    <n v="13.54"/>
    <n v="15.7"/>
    <n v="28"/>
    <n v="6161"/>
    <n v="4.75"/>
    <n v="0"/>
    <n v="0"/>
    <n v="0"/>
    <n v="0"/>
    <n v="0"/>
    <n v="0"/>
    <n v="0"/>
    <n v="0"/>
    <n v="1"/>
    <n v="1"/>
    <n v="1"/>
    <n v="138190"/>
  </r>
  <r>
    <x v="3"/>
    <x v="0"/>
    <s v="Small"/>
    <s v="Yes"/>
    <s v="No"/>
    <n v="76"/>
    <n v="21.51"/>
    <n v="7.6"/>
    <n v="21"/>
    <n v="1332"/>
    <n v="4.2699999999999996"/>
    <n v="0"/>
    <n v="0"/>
    <n v="1"/>
    <n v="1"/>
    <n v="0"/>
    <n v="0"/>
    <n v="0"/>
    <n v="1"/>
    <n v="0"/>
    <n v="1"/>
    <n v="0"/>
    <n v="70675"/>
  </r>
  <r>
    <x v="3"/>
    <x v="4"/>
    <s v="Small"/>
    <s v="Yes"/>
    <s v="Yes"/>
    <n v="54"/>
    <n v="19.22"/>
    <n v="5.7"/>
    <n v="17"/>
    <n v="1580"/>
    <n v="4"/>
    <n v="0"/>
    <n v="0"/>
    <n v="1"/>
    <n v="0"/>
    <n v="0"/>
    <n v="0"/>
    <n v="0"/>
    <n v="1"/>
    <n v="0"/>
    <n v="1"/>
    <n v="1"/>
    <n v="89242"/>
  </r>
  <r>
    <x v="1"/>
    <x v="4"/>
    <s v="Medium"/>
    <s v="No"/>
    <s v="No"/>
    <n v="73"/>
    <n v="16.68"/>
    <n v="0.5"/>
    <n v="23"/>
    <n v="1400"/>
    <n v="4.78"/>
    <n v="0"/>
    <n v="0"/>
    <n v="0"/>
    <n v="0"/>
    <n v="0"/>
    <n v="0"/>
    <n v="0"/>
    <n v="0"/>
    <n v="1"/>
    <n v="0"/>
    <n v="0"/>
    <n v="73495"/>
  </r>
  <r>
    <x v="3"/>
    <x v="3"/>
    <s v="Small"/>
    <s v="Yes"/>
    <s v="Yes"/>
    <n v="94"/>
    <n v="34.159999999999997"/>
    <n v="1.7"/>
    <n v="21"/>
    <n v="14154"/>
    <n v="3.56"/>
    <n v="0"/>
    <n v="0"/>
    <n v="1"/>
    <n v="0"/>
    <n v="0"/>
    <n v="0"/>
    <n v="1"/>
    <n v="1"/>
    <n v="0"/>
    <n v="1"/>
    <n v="1"/>
    <n v="93016"/>
  </r>
  <r>
    <x v="1"/>
    <x v="3"/>
    <s v="Medium"/>
    <s v="Yes"/>
    <s v="Yes"/>
    <n v="64"/>
    <n v="13.76"/>
    <n v="12.3"/>
    <n v="20"/>
    <n v="3552"/>
    <n v="3.54"/>
    <n v="0"/>
    <n v="0"/>
    <n v="0"/>
    <n v="0"/>
    <n v="0"/>
    <n v="0"/>
    <n v="1"/>
    <n v="0"/>
    <n v="1"/>
    <n v="1"/>
    <n v="1"/>
    <n v="62713"/>
  </r>
  <r>
    <x v="3"/>
    <x v="2"/>
    <s v="Medium"/>
    <s v="Yes"/>
    <s v="No"/>
    <n v="56"/>
    <n v="14.23"/>
    <n v="1.2"/>
    <n v="19"/>
    <n v="1660"/>
    <n v="3.27"/>
    <n v="0"/>
    <n v="0"/>
    <n v="1"/>
    <n v="0"/>
    <n v="0"/>
    <n v="1"/>
    <n v="0"/>
    <n v="0"/>
    <n v="1"/>
    <n v="1"/>
    <n v="0"/>
    <n v="58227"/>
  </r>
  <r>
    <x v="2"/>
    <x v="2"/>
    <s v="Large"/>
    <s v="Yes"/>
    <s v="Yes"/>
    <n v="79"/>
    <n v="8"/>
    <n v="1.2"/>
    <n v="20"/>
    <n v="5447"/>
    <n v="4.76"/>
    <n v="0"/>
    <n v="1"/>
    <n v="0"/>
    <n v="0"/>
    <n v="0"/>
    <n v="1"/>
    <n v="0"/>
    <n v="0"/>
    <n v="0"/>
    <n v="1"/>
    <n v="1"/>
    <n v="119175"/>
  </r>
  <r>
    <x v="2"/>
    <x v="4"/>
    <s v="Medium"/>
    <s v="Yes"/>
    <s v="No"/>
    <n v="100"/>
    <n v="17.68"/>
    <n v="2.2999999999999998"/>
    <n v="23"/>
    <n v="15000"/>
    <n v="4.49"/>
    <n v="0"/>
    <n v="1"/>
    <n v="0"/>
    <n v="0"/>
    <n v="0"/>
    <n v="0"/>
    <n v="0"/>
    <n v="0"/>
    <n v="1"/>
    <n v="1"/>
    <n v="0"/>
    <n v="164607"/>
  </r>
  <r>
    <x v="3"/>
    <x v="4"/>
    <s v="Medium"/>
    <s v="No"/>
    <s v="Yes"/>
    <n v="73"/>
    <n v="25.12"/>
    <n v="9.8000000000000007"/>
    <n v="22"/>
    <n v="2793"/>
    <n v="3.48"/>
    <n v="0"/>
    <n v="0"/>
    <n v="1"/>
    <n v="0"/>
    <n v="0"/>
    <n v="0"/>
    <n v="0"/>
    <n v="0"/>
    <n v="1"/>
    <n v="0"/>
    <n v="1"/>
    <n v="119421"/>
  </r>
  <r>
    <x v="1"/>
    <x v="3"/>
    <s v="Small"/>
    <s v="Yes"/>
    <s v="No"/>
    <n v="40"/>
    <n v="8"/>
    <n v="0.9"/>
    <n v="16"/>
    <n v="2449"/>
    <n v="3.91"/>
    <n v="0"/>
    <n v="0"/>
    <n v="0"/>
    <n v="0"/>
    <n v="0"/>
    <n v="0"/>
    <n v="1"/>
    <n v="1"/>
    <n v="0"/>
    <n v="1"/>
    <n v="0"/>
    <n v="23275"/>
  </r>
  <r>
    <x v="1"/>
    <x v="4"/>
    <s v="Medium"/>
    <s v="No"/>
    <s v="Yes"/>
    <n v="42"/>
    <n v="16"/>
    <n v="3.4"/>
    <n v="14"/>
    <n v="10865"/>
    <n v="4.57"/>
    <n v="0"/>
    <n v="0"/>
    <n v="0"/>
    <n v="0"/>
    <n v="0"/>
    <n v="0"/>
    <n v="0"/>
    <n v="0"/>
    <n v="1"/>
    <n v="0"/>
    <n v="1"/>
    <n v="82870"/>
  </r>
  <r>
    <x v="1"/>
    <x v="1"/>
    <s v="Medium"/>
    <s v="Yes"/>
    <s v="Yes"/>
    <n v="56"/>
    <n v="8.5500000000000007"/>
    <n v="0.5"/>
    <n v="17"/>
    <n v="2456"/>
    <n v="4.22"/>
    <n v="0"/>
    <n v="0"/>
    <n v="0"/>
    <n v="0"/>
    <n v="1"/>
    <n v="0"/>
    <n v="0"/>
    <n v="0"/>
    <n v="1"/>
    <n v="1"/>
    <n v="1"/>
    <n v="44238"/>
  </r>
  <r>
    <x v="1"/>
    <x v="2"/>
    <s v="Medium"/>
    <s v="Yes"/>
    <s v="Yes"/>
    <n v="62"/>
    <n v="29.54"/>
    <n v="3.9"/>
    <n v="15"/>
    <n v="1024"/>
    <n v="3.49"/>
    <n v="0"/>
    <n v="0"/>
    <n v="0"/>
    <n v="0"/>
    <n v="0"/>
    <n v="1"/>
    <n v="0"/>
    <n v="0"/>
    <n v="1"/>
    <n v="1"/>
    <n v="1"/>
    <n v="78542"/>
  </r>
  <r>
    <x v="2"/>
    <x v="1"/>
    <s v="Large"/>
    <s v="No"/>
    <s v="No"/>
    <n v="74"/>
    <n v="28.86"/>
    <n v="3.2"/>
    <n v="20"/>
    <n v="2039"/>
    <n v="4.78"/>
    <n v="0"/>
    <n v="1"/>
    <n v="0"/>
    <n v="0"/>
    <n v="1"/>
    <n v="0"/>
    <n v="0"/>
    <n v="0"/>
    <n v="0"/>
    <n v="0"/>
    <n v="0"/>
    <n v="122300"/>
  </r>
  <r>
    <x v="1"/>
    <x v="4"/>
    <s v="Small"/>
    <s v="Yes"/>
    <s v="Yes"/>
    <n v="92"/>
    <n v="20.68"/>
    <n v="1.4"/>
    <n v="28"/>
    <n v="6501"/>
    <n v="4.04"/>
    <n v="0"/>
    <n v="0"/>
    <n v="0"/>
    <n v="0"/>
    <n v="0"/>
    <n v="0"/>
    <n v="0"/>
    <n v="1"/>
    <n v="0"/>
    <n v="1"/>
    <n v="1"/>
    <n v="80730"/>
  </r>
  <r>
    <x v="1"/>
    <x v="1"/>
    <s v="Medium"/>
    <s v="Yes"/>
    <s v="No"/>
    <n v="64"/>
    <n v="29.43"/>
    <n v="0.5"/>
    <n v="15"/>
    <n v="5275"/>
    <n v="4.84"/>
    <n v="0"/>
    <n v="0"/>
    <n v="0"/>
    <n v="0"/>
    <n v="1"/>
    <n v="0"/>
    <n v="0"/>
    <n v="0"/>
    <n v="1"/>
    <n v="1"/>
    <n v="0"/>
    <n v="65651"/>
  </r>
  <r>
    <x v="0"/>
    <x v="1"/>
    <s v="Medium"/>
    <s v="Yes"/>
    <s v="Yes"/>
    <n v="47"/>
    <n v="11.06"/>
    <n v="17.5"/>
    <n v="16"/>
    <n v="819"/>
    <n v="4.7699999999999996"/>
    <n v="1"/>
    <n v="0"/>
    <n v="0"/>
    <n v="0"/>
    <n v="1"/>
    <n v="0"/>
    <n v="0"/>
    <n v="0"/>
    <n v="1"/>
    <n v="1"/>
    <n v="1"/>
    <n v="43542"/>
  </r>
  <r>
    <x v="0"/>
    <x v="1"/>
    <s v="Medium"/>
    <s v="No"/>
    <s v="Yes"/>
    <n v="90"/>
    <n v="25.61"/>
    <n v="0.5"/>
    <n v="24"/>
    <n v="14213"/>
    <n v="4.78"/>
    <n v="1"/>
    <n v="0"/>
    <n v="0"/>
    <n v="0"/>
    <n v="1"/>
    <n v="0"/>
    <n v="0"/>
    <n v="0"/>
    <n v="1"/>
    <n v="0"/>
    <n v="1"/>
    <n v="78801"/>
  </r>
  <r>
    <x v="2"/>
    <x v="1"/>
    <s v="Medium"/>
    <s v="Yes"/>
    <s v="Yes"/>
    <n v="82"/>
    <n v="13.32"/>
    <n v="5.7"/>
    <n v="20"/>
    <n v="14524"/>
    <n v="4.8499999999999996"/>
    <n v="0"/>
    <n v="1"/>
    <n v="0"/>
    <n v="0"/>
    <n v="1"/>
    <n v="0"/>
    <n v="0"/>
    <n v="0"/>
    <n v="1"/>
    <n v="1"/>
    <n v="1"/>
    <n v="124573"/>
  </r>
  <r>
    <x v="1"/>
    <x v="0"/>
    <s v="Small"/>
    <s v="No"/>
    <s v="No"/>
    <n v="104"/>
    <n v="20.57"/>
    <n v="2"/>
    <n v="19"/>
    <n v="6317"/>
    <n v="4.63"/>
    <n v="0"/>
    <n v="0"/>
    <n v="0"/>
    <n v="1"/>
    <n v="0"/>
    <n v="0"/>
    <n v="0"/>
    <n v="1"/>
    <n v="0"/>
    <n v="0"/>
    <n v="0"/>
    <n v="42396"/>
  </r>
  <r>
    <x v="3"/>
    <x v="1"/>
    <s v="Small"/>
    <s v="No"/>
    <s v="Yes"/>
    <n v="33"/>
    <n v="15.6"/>
    <n v="0.8"/>
    <n v="15"/>
    <n v="888"/>
    <n v="4.8099999999999996"/>
    <n v="0"/>
    <n v="0"/>
    <n v="1"/>
    <n v="0"/>
    <n v="1"/>
    <n v="0"/>
    <n v="0"/>
    <n v="1"/>
    <n v="0"/>
    <n v="0"/>
    <n v="1"/>
    <n v="45534"/>
  </r>
  <r>
    <x v="2"/>
    <x v="4"/>
    <s v="Medium"/>
    <s v="Yes"/>
    <s v="Yes"/>
    <n v="77"/>
    <n v="15.77"/>
    <n v="1.2"/>
    <n v="17"/>
    <n v="3209"/>
    <n v="4.1100000000000003"/>
    <n v="0"/>
    <n v="1"/>
    <n v="0"/>
    <n v="0"/>
    <n v="0"/>
    <n v="0"/>
    <n v="0"/>
    <n v="0"/>
    <n v="1"/>
    <n v="1"/>
    <n v="1"/>
    <n v="105065"/>
  </r>
  <r>
    <x v="2"/>
    <x v="4"/>
    <s v="Medium"/>
    <s v="Yes"/>
    <s v="Yes"/>
    <n v="109"/>
    <n v="22.37"/>
    <n v="0.6"/>
    <n v="26"/>
    <n v="613"/>
    <n v="4.54"/>
    <n v="0"/>
    <n v="1"/>
    <n v="0"/>
    <n v="0"/>
    <n v="0"/>
    <n v="0"/>
    <n v="0"/>
    <n v="0"/>
    <n v="1"/>
    <n v="1"/>
    <n v="1"/>
    <n v="1048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407AA-6569-4F3D-8E14-CC9EF01873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13:AM20" firstHeaderRow="1" firstDataRow="1" firstDataCol="1"/>
  <pivotFields count="23">
    <pivotField axis="axisRow" showAll="0" sortType="ascending">
      <items count="5">
        <item h="1" x="3"/>
        <item h="1" x="2"/>
        <item x="0"/>
        <item h="1" x="1"/>
        <item t="default"/>
      </items>
      <autoSortScope>
        <pivotArea dataOnly="0" outline="0" fieldPosition="0">
          <references count="1">
            <reference field="4294967294" count="1" selected="0">
              <x v="0"/>
            </reference>
          </references>
        </pivotArea>
      </autoSortScope>
    </pivotField>
    <pivotField axis="axisRow" showAll="0" sortType="a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0"/>
    <field x="1"/>
  </rowFields>
  <rowItems count="7">
    <i>
      <x v="2"/>
    </i>
    <i r="1">
      <x v="4"/>
    </i>
    <i r="1">
      <x v="3"/>
    </i>
    <i r="1">
      <x/>
    </i>
    <i r="1">
      <x v="2"/>
    </i>
    <i r="1">
      <x v="1"/>
    </i>
    <i t="grand">
      <x/>
    </i>
  </rowItems>
  <colItems count="1">
    <i/>
  </colItems>
  <dataFields count="1">
    <dataField name="Sum of monthly_revenue" fld="2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type1" xr10:uid="{1AEB5BBF-4A4C-4750-9247-3A4C10CEA6FE}" sourceName="location_type">
  <pivotTables>
    <pivotTable tabId="7" name="PivotTable1"/>
  </pivotTables>
  <data>
    <tabular pivotCacheId="603007530">
      <items count="4">
        <i x="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type" xr10:uid="{96E0906A-59A6-4B57-8169-576F0694E5B6}" cache="Slicer_location_type1" caption="Filter by Location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A1AB-AB3D-44DF-8FBB-8E3C35372D85}">
  <dimension ref="A1:X101"/>
  <sheetViews>
    <sheetView zoomScale="85" zoomScaleNormal="85" workbookViewId="0">
      <selection activeCell="P20" sqref="P20"/>
    </sheetView>
  </sheetViews>
  <sheetFormatPr defaultColWidth="9.109375" defaultRowHeight="14.4" x14ac:dyDescent="0.3"/>
  <cols>
    <col min="1" max="1" width="14.5546875" customWidth="1"/>
    <col min="2" max="2" width="13.77734375" customWidth="1"/>
    <col min="3" max="3" width="16.109375" customWidth="1"/>
    <col min="4" max="4" width="13.21875" customWidth="1"/>
    <col min="5" max="5" width="13.88671875" customWidth="1"/>
    <col min="6" max="6" width="17.109375" customWidth="1"/>
    <col min="7" max="7" width="16.33203125" customWidth="1"/>
    <col min="8" max="8" width="18.77734375" customWidth="1"/>
    <col min="9" max="9" width="12.44140625" customWidth="1"/>
    <col min="10" max="10" width="17.77734375" customWidth="1"/>
    <col min="11" max="11" width="17" customWidth="1"/>
    <col min="12" max="12" width="23.88671875" customWidth="1"/>
    <col min="13" max="13" width="19" customWidth="1"/>
    <col min="14" max="14" width="24.6640625" customWidth="1"/>
    <col min="15" max="15" width="19.33203125" customWidth="1"/>
    <col min="16" max="16" width="22.77734375" customWidth="1"/>
    <col min="17" max="17" width="20" customWidth="1"/>
    <col min="18" max="18" width="21.77734375" customWidth="1"/>
    <col min="19" max="19" width="22" customWidth="1"/>
    <col min="20" max="20" width="23.88671875" customWidth="1"/>
    <col min="21" max="21" width="17.21875" customWidth="1"/>
    <col min="22" max="22" width="18" customWidth="1"/>
    <col min="23" max="23" width="18.21875" customWidth="1"/>
    <col min="24" max="24" width="21.109375" customWidth="1"/>
    <col min="29" max="29" width="13" bestFit="1" customWidth="1"/>
    <col min="30" max="30" width="22.21875" bestFit="1" customWidth="1"/>
  </cols>
  <sheetData>
    <row r="1" spans="1:24" x14ac:dyDescent="0.3">
      <c r="A1" t="s">
        <v>1</v>
      </c>
      <c r="B1" t="s">
        <v>2</v>
      </c>
      <c r="C1" t="s">
        <v>3</v>
      </c>
      <c r="D1" t="s">
        <v>4</v>
      </c>
      <c r="E1" t="s">
        <v>5</v>
      </c>
      <c r="F1" t="s">
        <v>6</v>
      </c>
      <c r="G1" t="s">
        <v>7</v>
      </c>
      <c r="H1" t="s">
        <v>8</v>
      </c>
      <c r="I1" t="s">
        <v>9</v>
      </c>
      <c r="J1" t="s">
        <v>10</v>
      </c>
      <c r="K1" t="s">
        <v>11</v>
      </c>
      <c r="L1" t="s">
        <v>73</v>
      </c>
      <c r="M1" t="s">
        <v>74</v>
      </c>
      <c r="N1" t="s">
        <v>75</v>
      </c>
      <c r="O1" t="s">
        <v>76</v>
      </c>
      <c r="P1" t="s">
        <v>77</v>
      </c>
      <c r="Q1" t="s">
        <v>78</v>
      </c>
      <c r="R1" t="s">
        <v>79</v>
      </c>
      <c r="S1" t="s">
        <v>80</v>
      </c>
      <c r="T1" t="s">
        <v>81</v>
      </c>
      <c r="U1" t="s">
        <v>82</v>
      </c>
      <c r="V1" t="s">
        <v>83</v>
      </c>
      <c r="W1" t="s">
        <v>0</v>
      </c>
      <c r="X1" t="s">
        <v>84</v>
      </c>
    </row>
    <row r="2" spans="1:24" x14ac:dyDescent="0.3">
      <c r="A2" t="s">
        <v>12</v>
      </c>
      <c r="B2" t="s">
        <v>13</v>
      </c>
      <c r="C2" t="s">
        <v>14</v>
      </c>
      <c r="D2" t="s">
        <v>15</v>
      </c>
      <c r="E2" t="s">
        <v>15</v>
      </c>
      <c r="F2">
        <v>48</v>
      </c>
      <c r="G2">
        <v>23.79</v>
      </c>
      <c r="H2">
        <v>13.1</v>
      </c>
      <c r="I2">
        <v>11</v>
      </c>
      <c r="J2">
        <v>1380</v>
      </c>
      <c r="K2">
        <v>4.7300000000000004</v>
      </c>
      <c r="L2">
        <f>IF(rawdata!$A2="Strip_Mall", 1, 0)</f>
        <v>1</v>
      </c>
      <c r="M2">
        <f>IF(rawdata!$A2="Mall", 1, 0)</f>
        <v>0</v>
      </c>
      <c r="N2">
        <f>IF(rawdata!$A2="Downtown", 1, 0)</f>
        <v>0</v>
      </c>
      <c r="O2">
        <f>IF(rawdata!$B2="Asian", 1, 0)</f>
        <v>1</v>
      </c>
      <c r="P2">
        <f>IF(rawdata!$B2="American", 1, 0)</f>
        <v>0</v>
      </c>
      <c r="Q2">
        <f>IF(rawdata!$B2="Italian", 1, 0)</f>
        <v>0</v>
      </c>
      <c r="R2">
        <f>IF(rawdata!$B2="Mexican", 1, 0)</f>
        <v>0</v>
      </c>
      <c r="S2">
        <f>IF(rawdata!$C2="Small", 1, 0)</f>
        <v>0</v>
      </c>
      <c r="T2">
        <f>IF(rawdata!$C2="Medium", 1, 0)</f>
        <v>0</v>
      </c>
      <c r="U2">
        <f>IF(rawdata!$D2="Yes", 1, 0)</f>
        <v>1</v>
      </c>
      <c r="V2">
        <f>IF(rawdata!$E2="Yes", 1, 0)</f>
        <v>1</v>
      </c>
      <c r="W2">
        <v>83079</v>
      </c>
      <c r="X2">
        <f>LN(W2)</f>
        <v>11.327547241326371</v>
      </c>
    </row>
    <row r="3" spans="1:24" x14ac:dyDescent="0.3">
      <c r="A3" t="s">
        <v>12</v>
      </c>
      <c r="B3" t="s">
        <v>16</v>
      </c>
      <c r="C3" t="s">
        <v>17</v>
      </c>
      <c r="D3" t="s">
        <v>15</v>
      </c>
      <c r="E3" t="s">
        <v>15</v>
      </c>
      <c r="F3">
        <v>76</v>
      </c>
      <c r="G3">
        <v>11.34</v>
      </c>
      <c r="H3">
        <v>14.8</v>
      </c>
      <c r="I3">
        <v>18</v>
      </c>
      <c r="J3">
        <v>2439</v>
      </c>
      <c r="K3">
        <v>4.75</v>
      </c>
      <c r="L3">
        <f>IF(rawdata!$A3="Strip_Mall", 1, 0)</f>
        <v>1</v>
      </c>
      <c r="M3">
        <f>IF(rawdata!$A3="Mall", 1, 0)</f>
        <v>0</v>
      </c>
      <c r="N3">
        <f>IF(rawdata!$A3="Downtown", 1, 0)</f>
        <v>0</v>
      </c>
      <c r="O3">
        <f>IF(rawdata!$B3="Asian", 1, 0)</f>
        <v>0</v>
      </c>
      <c r="P3">
        <f>IF(rawdata!$B3="American", 1, 0)</f>
        <v>1</v>
      </c>
      <c r="Q3">
        <f>IF(rawdata!$B3="Italian", 1, 0)</f>
        <v>0</v>
      </c>
      <c r="R3">
        <f>IF(rawdata!$B3="Mexican", 1, 0)</f>
        <v>0</v>
      </c>
      <c r="S3">
        <f>IF(rawdata!$C3="Small", 1, 0)</f>
        <v>1</v>
      </c>
      <c r="T3">
        <f>IF(rawdata!$C3="Medium", 1, 0)</f>
        <v>0</v>
      </c>
      <c r="U3">
        <f>IF(rawdata!$D3="Yes", 1, 0)</f>
        <v>1</v>
      </c>
      <c r="V3">
        <f>IF(rawdata!$E3="Yes", 1, 0)</f>
        <v>1</v>
      </c>
      <c r="W3">
        <v>31459</v>
      </c>
      <c r="X3">
        <f t="shared" ref="X3:X66" si="0">LN(W3)</f>
        <v>10.356440389711647</v>
      </c>
    </row>
    <row r="4" spans="1:24" x14ac:dyDescent="0.3">
      <c r="A4" t="s">
        <v>18</v>
      </c>
      <c r="B4" t="s">
        <v>16</v>
      </c>
      <c r="C4" t="s">
        <v>14</v>
      </c>
      <c r="D4" t="s">
        <v>15</v>
      </c>
      <c r="E4" t="s">
        <v>19</v>
      </c>
      <c r="F4">
        <v>45</v>
      </c>
      <c r="G4">
        <v>23.86</v>
      </c>
      <c r="H4">
        <v>6.5</v>
      </c>
      <c r="I4">
        <v>22</v>
      </c>
      <c r="J4">
        <v>1918</v>
      </c>
      <c r="K4">
        <v>4.54</v>
      </c>
      <c r="L4">
        <f>IF(rawdata!$A4="Strip_Mall", 1, 0)</f>
        <v>0</v>
      </c>
      <c r="M4">
        <f>IF(rawdata!$A4="Mall", 1, 0)</f>
        <v>0</v>
      </c>
      <c r="N4">
        <f>IF(rawdata!$A4="Downtown", 1, 0)</f>
        <v>0</v>
      </c>
      <c r="O4">
        <f>IF(rawdata!$B4="Asian", 1, 0)</f>
        <v>0</v>
      </c>
      <c r="P4">
        <f>IF(rawdata!$B4="American", 1, 0)</f>
        <v>1</v>
      </c>
      <c r="Q4">
        <f>IF(rawdata!$B4="Italian", 1, 0)</f>
        <v>0</v>
      </c>
      <c r="R4">
        <f>IF(rawdata!$B4="Mexican", 1, 0)</f>
        <v>0</v>
      </c>
      <c r="S4">
        <f>IF(rawdata!$C4="Small", 1, 0)</f>
        <v>0</v>
      </c>
      <c r="T4">
        <f>IF(rawdata!$C4="Medium", 1, 0)</f>
        <v>0</v>
      </c>
      <c r="U4">
        <f>IF(rawdata!$D4="Yes", 1, 0)</f>
        <v>1</v>
      </c>
      <c r="V4">
        <f>IF(rawdata!$E4="Yes", 1, 0)</f>
        <v>0</v>
      </c>
      <c r="W4">
        <v>133797</v>
      </c>
      <c r="X4">
        <f t="shared" si="0"/>
        <v>11.804079004900235</v>
      </c>
    </row>
    <row r="5" spans="1:24" x14ac:dyDescent="0.3">
      <c r="A5" t="s">
        <v>12</v>
      </c>
      <c r="B5" t="s">
        <v>20</v>
      </c>
      <c r="C5" t="s">
        <v>17</v>
      </c>
      <c r="D5" t="s">
        <v>15</v>
      </c>
      <c r="E5" t="s">
        <v>15</v>
      </c>
      <c r="F5">
        <v>80</v>
      </c>
      <c r="G5">
        <v>11.02</v>
      </c>
      <c r="H5">
        <v>23.2</v>
      </c>
      <c r="I5">
        <v>21</v>
      </c>
      <c r="J5">
        <v>3833</v>
      </c>
      <c r="K5">
        <v>4.34</v>
      </c>
      <c r="L5">
        <f>IF(rawdata!$A5="Strip_Mall", 1, 0)</f>
        <v>1</v>
      </c>
      <c r="M5">
        <f>IF(rawdata!$A5="Mall", 1, 0)</f>
        <v>0</v>
      </c>
      <c r="N5">
        <f>IF(rawdata!$A5="Downtown", 1, 0)</f>
        <v>0</v>
      </c>
      <c r="O5">
        <f>IF(rawdata!$B5="Asian", 1, 0)</f>
        <v>0</v>
      </c>
      <c r="P5">
        <f>IF(rawdata!$B5="American", 1, 0)</f>
        <v>0</v>
      </c>
      <c r="Q5">
        <f>IF(rawdata!$B5="Italian", 1, 0)</f>
        <v>1</v>
      </c>
      <c r="R5">
        <f>IF(rawdata!$B5="Mexican", 1, 0)</f>
        <v>0</v>
      </c>
      <c r="S5">
        <f>IF(rawdata!$C5="Small", 1, 0)</f>
        <v>1</v>
      </c>
      <c r="T5">
        <f>IF(rawdata!$C5="Medium", 1, 0)</f>
        <v>0</v>
      </c>
      <c r="U5">
        <f>IF(rawdata!$D5="Yes", 1, 0)</f>
        <v>1</v>
      </c>
      <c r="V5">
        <f>IF(rawdata!$E5="Yes", 1, 0)</f>
        <v>1</v>
      </c>
      <c r="W5">
        <v>41739</v>
      </c>
      <c r="X5">
        <f t="shared" si="0"/>
        <v>10.639191222509986</v>
      </c>
    </row>
    <row r="6" spans="1:24" x14ac:dyDescent="0.3">
      <c r="A6" t="s">
        <v>21</v>
      </c>
      <c r="B6" t="s">
        <v>22</v>
      </c>
      <c r="C6" t="s">
        <v>23</v>
      </c>
      <c r="D6" t="s">
        <v>19</v>
      </c>
      <c r="E6" t="s">
        <v>19</v>
      </c>
      <c r="F6">
        <v>107</v>
      </c>
      <c r="G6">
        <v>14.37</v>
      </c>
      <c r="H6">
        <v>0.7</v>
      </c>
      <c r="I6">
        <v>28</v>
      </c>
      <c r="J6">
        <v>2714</v>
      </c>
      <c r="K6">
        <v>3.89</v>
      </c>
      <c r="L6">
        <f>IF(rawdata!$A6="Strip_Mall", 1, 0)</f>
        <v>0</v>
      </c>
      <c r="M6">
        <f>IF(rawdata!$A6="Mall", 1, 0)</f>
        <v>1</v>
      </c>
      <c r="N6">
        <f>IF(rawdata!$A6="Downtown", 1, 0)</f>
        <v>0</v>
      </c>
      <c r="O6">
        <f>IF(rawdata!$B6="Asian", 1, 0)</f>
        <v>0</v>
      </c>
      <c r="P6">
        <f>IF(rawdata!$B6="American", 1, 0)</f>
        <v>0</v>
      </c>
      <c r="Q6">
        <f>IF(rawdata!$B6="Italian", 1, 0)</f>
        <v>0</v>
      </c>
      <c r="R6">
        <f>IF(rawdata!$B6="Mexican", 1, 0)</f>
        <v>1</v>
      </c>
      <c r="S6">
        <f>IF(rawdata!$C6="Small", 1, 0)</f>
        <v>0</v>
      </c>
      <c r="T6">
        <f>IF(rawdata!$C6="Medium", 1, 0)</f>
        <v>1</v>
      </c>
      <c r="U6">
        <f>IF(rawdata!$D6="Yes", 1, 0)</f>
        <v>0</v>
      </c>
      <c r="V6">
        <f>IF(rawdata!$E6="Yes", 1, 0)</f>
        <v>0</v>
      </c>
      <c r="W6">
        <v>67946</v>
      </c>
      <c r="X6">
        <f t="shared" si="0"/>
        <v>11.126468551032737</v>
      </c>
    </row>
    <row r="7" spans="1:24" x14ac:dyDescent="0.3">
      <c r="A7" t="s">
        <v>24</v>
      </c>
      <c r="B7" t="s">
        <v>22</v>
      </c>
      <c r="C7" t="s">
        <v>17</v>
      </c>
      <c r="D7" t="s">
        <v>19</v>
      </c>
      <c r="E7" t="s">
        <v>15</v>
      </c>
      <c r="F7">
        <v>49</v>
      </c>
      <c r="G7">
        <v>27.5</v>
      </c>
      <c r="H7">
        <v>0.8</v>
      </c>
      <c r="I7">
        <v>16</v>
      </c>
      <c r="J7">
        <v>7233</v>
      </c>
      <c r="K7">
        <v>4.4800000000000004</v>
      </c>
      <c r="L7">
        <f>IF(rawdata!$A7="Strip_Mall", 1, 0)</f>
        <v>0</v>
      </c>
      <c r="M7">
        <f>IF(rawdata!$A7="Mall", 1, 0)</f>
        <v>0</v>
      </c>
      <c r="N7">
        <f>IF(rawdata!$A7="Downtown", 1, 0)</f>
        <v>1</v>
      </c>
      <c r="O7">
        <f>IF(rawdata!$B7="Asian", 1, 0)</f>
        <v>0</v>
      </c>
      <c r="P7">
        <f>IF(rawdata!$B7="American", 1, 0)</f>
        <v>0</v>
      </c>
      <c r="Q7">
        <f>IF(rawdata!$B7="Italian", 1, 0)</f>
        <v>0</v>
      </c>
      <c r="R7">
        <f>IF(rawdata!$B7="Mexican", 1, 0)</f>
        <v>1</v>
      </c>
      <c r="S7">
        <f>IF(rawdata!$C7="Small", 1, 0)</f>
        <v>1</v>
      </c>
      <c r="T7">
        <f>IF(rawdata!$C7="Medium", 1, 0)</f>
        <v>0</v>
      </c>
      <c r="U7">
        <f>IF(rawdata!$D7="Yes", 1, 0)</f>
        <v>0</v>
      </c>
      <c r="V7">
        <f>IF(rawdata!$E7="Yes", 1, 0)</f>
        <v>1</v>
      </c>
      <c r="W7">
        <v>78876</v>
      </c>
      <c r="X7">
        <f t="shared" si="0"/>
        <v>11.275632278051576</v>
      </c>
    </row>
    <row r="8" spans="1:24" x14ac:dyDescent="0.3">
      <c r="A8" t="s">
        <v>21</v>
      </c>
      <c r="B8" t="s">
        <v>25</v>
      </c>
      <c r="C8" t="s">
        <v>14</v>
      </c>
      <c r="D8" t="s">
        <v>15</v>
      </c>
      <c r="E8" t="s">
        <v>19</v>
      </c>
      <c r="F8">
        <v>57</v>
      </c>
      <c r="G8">
        <v>15.68</v>
      </c>
      <c r="H8">
        <v>0.5</v>
      </c>
      <c r="I8">
        <v>19</v>
      </c>
      <c r="J8">
        <v>5105</v>
      </c>
      <c r="K8">
        <v>3.73</v>
      </c>
      <c r="L8">
        <f>IF(rawdata!$A8="Strip_Mall", 1, 0)</f>
        <v>0</v>
      </c>
      <c r="M8">
        <f>IF(rawdata!$A8="Mall", 1, 0)</f>
        <v>1</v>
      </c>
      <c r="N8">
        <f>IF(rawdata!$A8="Downtown", 1, 0)</f>
        <v>0</v>
      </c>
      <c r="O8">
        <f>IF(rawdata!$B8="Asian", 1, 0)</f>
        <v>0</v>
      </c>
      <c r="P8">
        <f>IF(rawdata!$B8="American", 1, 0)</f>
        <v>0</v>
      </c>
      <c r="Q8">
        <f>IF(rawdata!$B8="Italian", 1, 0)</f>
        <v>0</v>
      </c>
      <c r="R8">
        <f>IF(rawdata!$B8="Mexican", 1, 0)</f>
        <v>0</v>
      </c>
      <c r="S8">
        <f>IF(rawdata!$C8="Small", 1, 0)</f>
        <v>0</v>
      </c>
      <c r="T8">
        <f>IF(rawdata!$C8="Medium", 1, 0)</f>
        <v>0</v>
      </c>
      <c r="U8">
        <f>IF(rawdata!$D8="Yes", 1, 0)</f>
        <v>1</v>
      </c>
      <c r="V8">
        <f>IF(rawdata!$E8="Yes", 1, 0)</f>
        <v>0</v>
      </c>
      <c r="W8">
        <v>126677</v>
      </c>
      <c r="X8">
        <f t="shared" si="0"/>
        <v>11.749395818654445</v>
      </c>
    </row>
    <row r="9" spans="1:24" x14ac:dyDescent="0.3">
      <c r="A9" t="s">
        <v>18</v>
      </c>
      <c r="B9" t="s">
        <v>25</v>
      </c>
      <c r="C9" t="s">
        <v>17</v>
      </c>
      <c r="D9" t="s">
        <v>15</v>
      </c>
      <c r="E9" t="s">
        <v>15</v>
      </c>
      <c r="F9">
        <v>76</v>
      </c>
      <c r="G9">
        <v>24.63</v>
      </c>
      <c r="H9">
        <v>11.5</v>
      </c>
      <c r="I9">
        <v>23</v>
      </c>
      <c r="J9">
        <v>5779</v>
      </c>
      <c r="K9">
        <v>3.48</v>
      </c>
      <c r="L9">
        <f>IF(rawdata!$A9="Strip_Mall", 1, 0)</f>
        <v>0</v>
      </c>
      <c r="M9">
        <f>IF(rawdata!$A9="Mall", 1, 0)</f>
        <v>0</v>
      </c>
      <c r="N9">
        <f>IF(rawdata!$A9="Downtown", 1, 0)</f>
        <v>0</v>
      </c>
      <c r="O9">
        <f>IF(rawdata!$B9="Asian", 1, 0)</f>
        <v>0</v>
      </c>
      <c r="P9">
        <f>IF(rawdata!$B9="American", 1, 0)</f>
        <v>0</v>
      </c>
      <c r="Q9">
        <f>IF(rawdata!$B9="Italian", 1, 0)</f>
        <v>0</v>
      </c>
      <c r="R9">
        <f>IF(rawdata!$B9="Mexican", 1, 0)</f>
        <v>0</v>
      </c>
      <c r="S9">
        <f>IF(rawdata!$C9="Small", 1, 0)</f>
        <v>1</v>
      </c>
      <c r="T9">
        <f>IF(rawdata!$C9="Medium", 1, 0)</f>
        <v>0</v>
      </c>
      <c r="U9">
        <f>IF(rawdata!$D9="Yes", 1, 0)</f>
        <v>1</v>
      </c>
      <c r="V9">
        <f>IF(rawdata!$E9="Yes", 1, 0)</f>
        <v>1</v>
      </c>
      <c r="W9">
        <v>77981</v>
      </c>
      <c r="X9">
        <f t="shared" si="0"/>
        <v>11.264220486255338</v>
      </c>
    </row>
    <row r="10" spans="1:24" x14ac:dyDescent="0.3">
      <c r="A10" t="s">
        <v>21</v>
      </c>
      <c r="B10" t="s">
        <v>13</v>
      </c>
      <c r="C10" t="s">
        <v>23</v>
      </c>
      <c r="D10" t="s">
        <v>15</v>
      </c>
      <c r="E10" t="s">
        <v>15</v>
      </c>
      <c r="F10">
        <v>50</v>
      </c>
      <c r="G10">
        <v>15.67</v>
      </c>
      <c r="H10">
        <v>2.6</v>
      </c>
      <c r="I10">
        <v>14</v>
      </c>
      <c r="J10">
        <v>1841</v>
      </c>
      <c r="K10">
        <v>3.12</v>
      </c>
      <c r="L10">
        <f>IF(rawdata!$A10="Strip_Mall", 1, 0)</f>
        <v>0</v>
      </c>
      <c r="M10">
        <f>IF(rawdata!$A10="Mall", 1, 0)</f>
        <v>1</v>
      </c>
      <c r="N10">
        <f>IF(rawdata!$A10="Downtown", 1, 0)</f>
        <v>0</v>
      </c>
      <c r="O10">
        <f>IF(rawdata!$B10="Asian", 1, 0)</f>
        <v>1</v>
      </c>
      <c r="P10">
        <f>IF(rawdata!$B10="American", 1, 0)</f>
        <v>0</v>
      </c>
      <c r="Q10">
        <f>IF(rawdata!$B10="Italian", 1, 0)</f>
        <v>0</v>
      </c>
      <c r="R10">
        <f>IF(rawdata!$B10="Mexican", 1, 0)</f>
        <v>0</v>
      </c>
      <c r="S10">
        <f>IF(rawdata!$C10="Small", 1, 0)</f>
        <v>0</v>
      </c>
      <c r="T10">
        <f>IF(rawdata!$C10="Medium", 1, 0)</f>
        <v>1</v>
      </c>
      <c r="U10">
        <f>IF(rawdata!$D10="Yes", 1, 0)</f>
        <v>1</v>
      </c>
      <c r="V10">
        <f>IF(rawdata!$E10="Yes", 1, 0)</f>
        <v>1</v>
      </c>
      <c r="W10">
        <v>50296</v>
      </c>
      <c r="X10">
        <f t="shared" si="0"/>
        <v>10.825680830062897</v>
      </c>
    </row>
    <row r="11" spans="1:24" x14ac:dyDescent="0.3">
      <c r="A11" t="s">
        <v>21</v>
      </c>
      <c r="B11" t="s">
        <v>16</v>
      </c>
      <c r="C11" t="s">
        <v>23</v>
      </c>
      <c r="D11" t="s">
        <v>15</v>
      </c>
      <c r="E11" t="s">
        <v>15</v>
      </c>
      <c r="F11">
        <v>65</v>
      </c>
      <c r="G11">
        <v>8</v>
      </c>
      <c r="H11">
        <v>2.6</v>
      </c>
      <c r="I11">
        <v>16</v>
      </c>
      <c r="J11">
        <v>1107</v>
      </c>
      <c r="K11">
        <v>3.83</v>
      </c>
      <c r="L11">
        <f>IF(rawdata!$A11="Strip_Mall", 1, 0)</f>
        <v>0</v>
      </c>
      <c r="M11">
        <f>IF(rawdata!$A11="Mall", 1, 0)</f>
        <v>1</v>
      </c>
      <c r="N11">
        <f>IF(rawdata!$A11="Downtown", 1, 0)</f>
        <v>0</v>
      </c>
      <c r="O11">
        <f>IF(rawdata!$B11="Asian", 1, 0)</f>
        <v>0</v>
      </c>
      <c r="P11">
        <f>IF(rawdata!$B11="American", 1, 0)</f>
        <v>1</v>
      </c>
      <c r="Q11">
        <f>IF(rawdata!$B11="Italian", 1, 0)</f>
        <v>0</v>
      </c>
      <c r="R11">
        <f>IF(rawdata!$B11="Mexican", 1, 0)</f>
        <v>0</v>
      </c>
      <c r="S11">
        <f>IF(rawdata!$C11="Small", 1, 0)</f>
        <v>0</v>
      </c>
      <c r="T11">
        <f>IF(rawdata!$C11="Medium", 1, 0)</f>
        <v>1</v>
      </c>
      <c r="U11">
        <f>IF(rawdata!$D11="Yes", 1, 0)</f>
        <v>1</v>
      </c>
      <c r="V11">
        <f>IF(rawdata!$E11="Yes", 1, 0)</f>
        <v>1</v>
      </c>
      <c r="W11">
        <v>38302</v>
      </c>
      <c r="X11">
        <f t="shared" si="0"/>
        <v>10.553257393126504</v>
      </c>
    </row>
    <row r="12" spans="1:24" x14ac:dyDescent="0.3">
      <c r="A12" t="s">
        <v>24</v>
      </c>
      <c r="B12" t="s">
        <v>13</v>
      </c>
      <c r="C12" t="s">
        <v>17</v>
      </c>
      <c r="D12" t="s">
        <v>15</v>
      </c>
      <c r="E12" t="s">
        <v>15</v>
      </c>
      <c r="F12">
        <v>97</v>
      </c>
      <c r="G12">
        <v>11.21</v>
      </c>
      <c r="H12">
        <v>0.5</v>
      </c>
      <c r="I12">
        <v>19</v>
      </c>
      <c r="J12">
        <v>14299</v>
      </c>
      <c r="K12">
        <v>4.6500000000000004</v>
      </c>
      <c r="L12">
        <f>IF(rawdata!$A12="Strip_Mall", 1, 0)</f>
        <v>0</v>
      </c>
      <c r="M12">
        <f>IF(rawdata!$A12="Mall", 1, 0)</f>
        <v>0</v>
      </c>
      <c r="N12">
        <f>IF(rawdata!$A12="Downtown", 1, 0)</f>
        <v>1</v>
      </c>
      <c r="O12">
        <f>IF(rawdata!$B12="Asian", 1, 0)</f>
        <v>1</v>
      </c>
      <c r="P12">
        <f>IF(rawdata!$B12="American", 1, 0)</f>
        <v>0</v>
      </c>
      <c r="Q12">
        <f>IF(rawdata!$B12="Italian", 1, 0)</f>
        <v>0</v>
      </c>
      <c r="R12">
        <f>IF(rawdata!$B12="Mexican", 1, 0)</f>
        <v>0</v>
      </c>
      <c r="S12">
        <f>IF(rawdata!$C12="Small", 1, 0)</f>
        <v>1</v>
      </c>
      <c r="T12">
        <f>IF(rawdata!$C12="Medium", 1, 0)</f>
        <v>0</v>
      </c>
      <c r="U12">
        <f>IF(rawdata!$D12="Yes", 1, 0)</f>
        <v>1</v>
      </c>
      <c r="V12">
        <f>IF(rawdata!$E12="Yes", 1, 0)</f>
        <v>1</v>
      </c>
      <c r="W12">
        <v>58721</v>
      </c>
      <c r="X12">
        <f t="shared" si="0"/>
        <v>10.980552693116142</v>
      </c>
    </row>
    <row r="13" spans="1:24" x14ac:dyDescent="0.3">
      <c r="A13" t="s">
        <v>21</v>
      </c>
      <c r="B13" t="s">
        <v>25</v>
      </c>
      <c r="C13" t="s">
        <v>17</v>
      </c>
      <c r="D13" t="s">
        <v>19</v>
      </c>
      <c r="E13" t="s">
        <v>15</v>
      </c>
      <c r="F13">
        <v>99</v>
      </c>
      <c r="G13">
        <v>9.2899999999999991</v>
      </c>
      <c r="H13">
        <v>0.5</v>
      </c>
      <c r="I13">
        <v>20</v>
      </c>
      <c r="J13">
        <v>4955</v>
      </c>
      <c r="K13">
        <v>3.64</v>
      </c>
      <c r="L13">
        <f>IF(rawdata!$A13="Strip_Mall", 1, 0)</f>
        <v>0</v>
      </c>
      <c r="M13">
        <f>IF(rawdata!$A13="Mall", 1, 0)</f>
        <v>1</v>
      </c>
      <c r="N13">
        <f>IF(rawdata!$A13="Downtown", 1, 0)</f>
        <v>0</v>
      </c>
      <c r="O13">
        <f>IF(rawdata!$B13="Asian", 1, 0)</f>
        <v>0</v>
      </c>
      <c r="P13">
        <f>IF(rawdata!$B13="American", 1, 0)</f>
        <v>0</v>
      </c>
      <c r="Q13">
        <f>IF(rawdata!$B13="Italian", 1, 0)</f>
        <v>0</v>
      </c>
      <c r="R13">
        <f>IF(rawdata!$B13="Mexican", 1, 0)</f>
        <v>0</v>
      </c>
      <c r="S13">
        <f>IF(rawdata!$C13="Small", 1, 0)</f>
        <v>1</v>
      </c>
      <c r="T13">
        <f>IF(rawdata!$C13="Medium", 1, 0)</f>
        <v>0</v>
      </c>
      <c r="U13">
        <f>IF(rawdata!$D13="Yes", 1, 0)</f>
        <v>0</v>
      </c>
      <c r="V13">
        <f>IF(rawdata!$E13="Yes", 1, 0)</f>
        <v>1</v>
      </c>
      <c r="W13">
        <v>38720</v>
      </c>
      <c r="X13">
        <f t="shared" si="0"/>
        <v>10.564111541390513</v>
      </c>
    </row>
    <row r="14" spans="1:24" x14ac:dyDescent="0.3">
      <c r="A14" t="s">
        <v>12</v>
      </c>
      <c r="B14" t="s">
        <v>25</v>
      </c>
      <c r="C14" t="s">
        <v>23</v>
      </c>
      <c r="D14" t="s">
        <v>15</v>
      </c>
      <c r="E14" t="s">
        <v>15</v>
      </c>
      <c r="F14">
        <v>85</v>
      </c>
      <c r="G14">
        <v>14.13</v>
      </c>
      <c r="H14">
        <v>0.5</v>
      </c>
      <c r="I14">
        <v>22</v>
      </c>
      <c r="J14">
        <v>1716</v>
      </c>
      <c r="K14">
        <v>4.5</v>
      </c>
      <c r="L14">
        <f>IF(rawdata!$A14="Strip_Mall", 1, 0)</f>
        <v>1</v>
      </c>
      <c r="M14">
        <f>IF(rawdata!$A14="Mall", 1, 0)</f>
        <v>0</v>
      </c>
      <c r="N14">
        <f>IF(rawdata!$A14="Downtown", 1, 0)</f>
        <v>0</v>
      </c>
      <c r="O14">
        <f>IF(rawdata!$B14="Asian", 1, 0)</f>
        <v>0</v>
      </c>
      <c r="P14">
        <f>IF(rawdata!$B14="American", 1, 0)</f>
        <v>0</v>
      </c>
      <c r="Q14">
        <f>IF(rawdata!$B14="Italian", 1, 0)</f>
        <v>0</v>
      </c>
      <c r="R14">
        <f>IF(rawdata!$B14="Mexican", 1, 0)</f>
        <v>0</v>
      </c>
      <c r="S14">
        <f>IF(rawdata!$C14="Small", 1, 0)</f>
        <v>0</v>
      </c>
      <c r="T14">
        <f>IF(rawdata!$C14="Medium", 1, 0)</f>
        <v>1</v>
      </c>
      <c r="U14">
        <f>IF(rawdata!$D14="Yes", 1, 0)</f>
        <v>1</v>
      </c>
      <c r="V14">
        <f>IF(rawdata!$E14="Yes", 1, 0)</f>
        <v>1</v>
      </c>
      <c r="W14">
        <v>50667</v>
      </c>
      <c r="X14">
        <f t="shared" si="0"/>
        <v>10.83303009008603</v>
      </c>
    </row>
    <row r="15" spans="1:24" x14ac:dyDescent="0.3">
      <c r="A15" t="s">
        <v>18</v>
      </c>
      <c r="B15" t="s">
        <v>13</v>
      </c>
      <c r="C15" t="s">
        <v>23</v>
      </c>
      <c r="D15" t="s">
        <v>15</v>
      </c>
      <c r="E15" t="s">
        <v>19</v>
      </c>
      <c r="F15">
        <v>29</v>
      </c>
      <c r="G15">
        <v>15.31</v>
      </c>
      <c r="H15">
        <v>8.1999999999999993</v>
      </c>
      <c r="I15">
        <v>14</v>
      </c>
      <c r="J15">
        <v>1298</v>
      </c>
      <c r="K15">
        <v>3.39</v>
      </c>
      <c r="L15">
        <f>IF(rawdata!$A15="Strip_Mall", 1, 0)</f>
        <v>0</v>
      </c>
      <c r="M15">
        <f>IF(rawdata!$A15="Mall", 1, 0)</f>
        <v>0</v>
      </c>
      <c r="N15">
        <f>IF(rawdata!$A15="Downtown", 1, 0)</f>
        <v>0</v>
      </c>
      <c r="O15">
        <f>IF(rawdata!$B15="Asian", 1, 0)</f>
        <v>1</v>
      </c>
      <c r="P15">
        <f>IF(rawdata!$B15="American", 1, 0)</f>
        <v>0</v>
      </c>
      <c r="Q15">
        <f>IF(rawdata!$B15="Italian", 1, 0)</f>
        <v>0</v>
      </c>
      <c r="R15">
        <f>IF(rawdata!$B15="Mexican", 1, 0)</f>
        <v>0</v>
      </c>
      <c r="S15">
        <f>IF(rawdata!$C15="Small", 1, 0)</f>
        <v>0</v>
      </c>
      <c r="T15">
        <f>IF(rawdata!$C15="Medium", 1, 0)</f>
        <v>1</v>
      </c>
      <c r="U15">
        <f>IF(rawdata!$D15="Yes", 1, 0)</f>
        <v>1</v>
      </c>
      <c r="V15">
        <f>IF(rawdata!$E15="Yes", 1, 0)</f>
        <v>0</v>
      </c>
      <c r="W15">
        <v>37572</v>
      </c>
      <c r="X15">
        <f t="shared" si="0"/>
        <v>10.534014371114406</v>
      </c>
    </row>
    <row r="16" spans="1:24" x14ac:dyDescent="0.3">
      <c r="A16" t="s">
        <v>24</v>
      </c>
      <c r="B16" t="s">
        <v>13</v>
      </c>
      <c r="C16" t="s">
        <v>17</v>
      </c>
      <c r="D16" t="s">
        <v>15</v>
      </c>
      <c r="E16" t="s">
        <v>15</v>
      </c>
      <c r="F16">
        <v>74</v>
      </c>
      <c r="G16">
        <v>16.77</v>
      </c>
      <c r="H16">
        <v>5.0999999999999996</v>
      </c>
      <c r="I16">
        <v>20</v>
      </c>
      <c r="J16">
        <v>1761</v>
      </c>
      <c r="K16">
        <v>3.9</v>
      </c>
      <c r="L16">
        <f>IF(rawdata!$A16="Strip_Mall", 1, 0)</f>
        <v>0</v>
      </c>
      <c r="M16">
        <f>IF(rawdata!$A16="Mall", 1, 0)</f>
        <v>0</v>
      </c>
      <c r="N16">
        <f>IF(rawdata!$A16="Downtown", 1, 0)</f>
        <v>1</v>
      </c>
      <c r="O16">
        <f>IF(rawdata!$B16="Asian", 1, 0)</f>
        <v>1</v>
      </c>
      <c r="P16">
        <f>IF(rawdata!$B16="American", 1, 0)</f>
        <v>0</v>
      </c>
      <c r="Q16">
        <f>IF(rawdata!$B16="Italian", 1, 0)</f>
        <v>0</v>
      </c>
      <c r="R16">
        <f>IF(rawdata!$B16="Mexican", 1, 0)</f>
        <v>0</v>
      </c>
      <c r="S16">
        <f>IF(rawdata!$C16="Small", 1, 0)</f>
        <v>1</v>
      </c>
      <c r="T16">
        <f>IF(rawdata!$C16="Medium", 1, 0)</f>
        <v>0</v>
      </c>
      <c r="U16">
        <f>IF(rawdata!$D16="Yes", 1, 0)</f>
        <v>1</v>
      </c>
      <c r="V16">
        <f>IF(rawdata!$E16="Yes", 1, 0)</f>
        <v>1</v>
      </c>
      <c r="W16">
        <v>64036</v>
      </c>
      <c r="X16">
        <f t="shared" si="0"/>
        <v>11.067200704197985</v>
      </c>
    </row>
    <row r="17" spans="1:24" x14ac:dyDescent="0.3">
      <c r="A17" t="s">
        <v>12</v>
      </c>
      <c r="B17" t="s">
        <v>13</v>
      </c>
      <c r="C17" t="s">
        <v>14</v>
      </c>
      <c r="D17" t="s">
        <v>19</v>
      </c>
      <c r="E17" t="s">
        <v>15</v>
      </c>
      <c r="F17">
        <v>102</v>
      </c>
      <c r="G17">
        <v>16.05</v>
      </c>
      <c r="H17">
        <v>2.7</v>
      </c>
      <c r="I17">
        <v>25</v>
      </c>
      <c r="J17">
        <v>3752</v>
      </c>
      <c r="K17">
        <v>3.88</v>
      </c>
      <c r="L17">
        <f>IF(rawdata!$A17="Strip_Mall", 1, 0)</f>
        <v>1</v>
      </c>
      <c r="M17">
        <f>IF(rawdata!$A17="Mall", 1, 0)</f>
        <v>0</v>
      </c>
      <c r="N17">
        <f>IF(rawdata!$A17="Downtown", 1, 0)</f>
        <v>0</v>
      </c>
      <c r="O17">
        <f>IF(rawdata!$B17="Asian", 1, 0)</f>
        <v>1</v>
      </c>
      <c r="P17">
        <f>IF(rawdata!$B17="American", 1, 0)</f>
        <v>0</v>
      </c>
      <c r="Q17">
        <f>IF(rawdata!$B17="Italian", 1, 0)</f>
        <v>0</v>
      </c>
      <c r="R17">
        <f>IF(rawdata!$B17="Mexican", 1, 0)</f>
        <v>0</v>
      </c>
      <c r="S17">
        <f>IF(rawdata!$C17="Small", 1, 0)</f>
        <v>0</v>
      </c>
      <c r="T17">
        <f>IF(rawdata!$C17="Medium", 1, 0)</f>
        <v>0</v>
      </c>
      <c r="U17">
        <f>IF(rawdata!$D17="Yes", 1, 0)</f>
        <v>0</v>
      </c>
      <c r="V17">
        <f>IF(rawdata!$E17="Yes", 1, 0)</f>
        <v>1</v>
      </c>
      <c r="W17">
        <v>98911</v>
      </c>
      <c r="X17">
        <f t="shared" si="0"/>
        <v>11.501975734883972</v>
      </c>
    </row>
    <row r="18" spans="1:24" x14ac:dyDescent="0.3">
      <c r="A18" t="s">
        <v>12</v>
      </c>
      <c r="B18" t="s">
        <v>16</v>
      </c>
      <c r="C18" t="s">
        <v>17</v>
      </c>
      <c r="D18" t="s">
        <v>15</v>
      </c>
      <c r="E18" t="s">
        <v>15</v>
      </c>
      <c r="F18">
        <v>95</v>
      </c>
      <c r="G18">
        <v>33.14</v>
      </c>
      <c r="H18">
        <v>12.8</v>
      </c>
      <c r="I18">
        <v>18</v>
      </c>
      <c r="J18">
        <v>9864</v>
      </c>
      <c r="K18">
        <v>4.25</v>
      </c>
      <c r="L18">
        <f>IF(rawdata!$A18="Strip_Mall", 1, 0)</f>
        <v>1</v>
      </c>
      <c r="M18">
        <f>IF(rawdata!$A18="Mall", 1, 0)</f>
        <v>0</v>
      </c>
      <c r="N18">
        <f>IF(rawdata!$A18="Downtown", 1, 0)</f>
        <v>0</v>
      </c>
      <c r="O18">
        <f>IF(rawdata!$B18="Asian", 1, 0)</f>
        <v>0</v>
      </c>
      <c r="P18">
        <f>IF(rawdata!$B18="American", 1, 0)</f>
        <v>1</v>
      </c>
      <c r="Q18">
        <f>IF(rawdata!$B18="Italian", 1, 0)</f>
        <v>0</v>
      </c>
      <c r="R18">
        <f>IF(rawdata!$B18="Mexican", 1, 0)</f>
        <v>0</v>
      </c>
      <c r="S18">
        <f>IF(rawdata!$C18="Small", 1, 0)</f>
        <v>1</v>
      </c>
      <c r="T18">
        <f>IF(rawdata!$C18="Medium", 1, 0)</f>
        <v>0</v>
      </c>
      <c r="U18">
        <f>IF(rawdata!$D18="Yes", 1, 0)</f>
        <v>1</v>
      </c>
      <c r="V18">
        <f>IF(rawdata!$E18="Yes", 1, 0)</f>
        <v>1</v>
      </c>
      <c r="W18">
        <v>65485</v>
      </c>
      <c r="X18">
        <f t="shared" si="0"/>
        <v>11.089576387763504</v>
      </c>
    </row>
    <row r="19" spans="1:24" x14ac:dyDescent="0.3">
      <c r="A19" t="s">
        <v>18</v>
      </c>
      <c r="B19" t="s">
        <v>20</v>
      </c>
      <c r="C19" t="s">
        <v>23</v>
      </c>
      <c r="D19" t="s">
        <v>15</v>
      </c>
      <c r="E19" t="s">
        <v>19</v>
      </c>
      <c r="F19">
        <v>70</v>
      </c>
      <c r="G19">
        <v>8</v>
      </c>
      <c r="H19">
        <v>17.5</v>
      </c>
      <c r="I19">
        <v>20</v>
      </c>
      <c r="J19">
        <v>1524</v>
      </c>
      <c r="K19">
        <v>3.72</v>
      </c>
      <c r="L19">
        <f>IF(rawdata!$A19="Strip_Mall", 1, 0)</f>
        <v>0</v>
      </c>
      <c r="M19">
        <f>IF(rawdata!$A19="Mall", 1, 0)</f>
        <v>0</v>
      </c>
      <c r="N19">
        <f>IF(rawdata!$A19="Downtown", 1, 0)</f>
        <v>0</v>
      </c>
      <c r="O19">
        <f>IF(rawdata!$B19="Asian", 1, 0)</f>
        <v>0</v>
      </c>
      <c r="P19">
        <f>IF(rawdata!$B19="American", 1, 0)</f>
        <v>0</v>
      </c>
      <c r="Q19">
        <f>IF(rawdata!$B19="Italian", 1, 0)</f>
        <v>1</v>
      </c>
      <c r="R19">
        <f>IF(rawdata!$B19="Mexican", 1, 0)</f>
        <v>0</v>
      </c>
      <c r="S19">
        <f>IF(rawdata!$C19="Small", 1, 0)</f>
        <v>0</v>
      </c>
      <c r="T19">
        <f>IF(rawdata!$C19="Medium", 1, 0)</f>
        <v>1</v>
      </c>
      <c r="U19">
        <f>IF(rawdata!$D19="Yes", 1, 0)</f>
        <v>1</v>
      </c>
      <c r="V19">
        <f>IF(rawdata!$E19="Yes", 1, 0)</f>
        <v>0</v>
      </c>
      <c r="W19">
        <v>57547</v>
      </c>
      <c r="X19">
        <f t="shared" si="0"/>
        <v>10.960357284207447</v>
      </c>
    </row>
    <row r="20" spans="1:24" x14ac:dyDescent="0.3">
      <c r="A20" t="s">
        <v>24</v>
      </c>
      <c r="B20" t="s">
        <v>13</v>
      </c>
      <c r="C20" t="s">
        <v>17</v>
      </c>
      <c r="D20" t="s">
        <v>19</v>
      </c>
      <c r="E20" t="s">
        <v>15</v>
      </c>
      <c r="F20">
        <v>20</v>
      </c>
      <c r="G20">
        <v>14.68</v>
      </c>
      <c r="H20">
        <v>5.0999999999999996</v>
      </c>
      <c r="I20">
        <v>14</v>
      </c>
      <c r="J20">
        <v>1019</v>
      </c>
      <c r="K20">
        <v>4.34</v>
      </c>
      <c r="L20">
        <f>IF(rawdata!$A20="Strip_Mall", 1, 0)</f>
        <v>0</v>
      </c>
      <c r="M20">
        <f>IF(rawdata!$A20="Mall", 1, 0)</f>
        <v>0</v>
      </c>
      <c r="N20">
        <f>IF(rawdata!$A20="Downtown", 1, 0)</f>
        <v>1</v>
      </c>
      <c r="O20">
        <f>IF(rawdata!$B20="Asian", 1, 0)</f>
        <v>1</v>
      </c>
      <c r="P20">
        <f>IF(rawdata!$B20="American", 1, 0)</f>
        <v>0</v>
      </c>
      <c r="Q20">
        <f>IF(rawdata!$B20="Italian", 1, 0)</f>
        <v>0</v>
      </c>
      <c r="R20">
        <f>IF(rawdata!$B20="Mexican", 1, 0)</f>
        <v>0</v>
      </c>
      <c r="S20">
        <f>IF(rawdata!$C20="Small", 1, 0)</f>
        <v>1</v>
      </c>
      <c r="T20">
        <f>IF(rawdata!$C20="Medium", 1, 0)</f>
        <v>0</v>
      </c>
      <c r="U20">
        <f>IF(rawdata!$D20="Yes", 1, 0)</f>
        <v>0</v>
      </c>
      <c r="V20">
        <f>IF(rawdata!$E20="Yes", 1, 0)</f>
        <v>1</v>
      </c>
      <c r="W20">
        <v>43305</v>
      </c>
      <c r="X20">
        <f t="shared" si="0"/>
        <v>10.676023380765145</v>
      </c>
    </row>
    <row r="21" spans="1:24" x14ac:dyDescent="0.3">
      <c r="A21" t="s">
        <v>24</v>
      </c>
      <c r="B21" t="s">
        <v>25</v>
      </c>
      <c r="C21" t="s">
        <v>14</v>
      </c>
      <c r="D21" t="s">
        <v>19</v>
      </c>
      <c r="E21" t="s">
        <v>15</v>
      </c>
      <c r="F21">
        <v>77</v>
      </c>
      <c r="G21">
        <v>20.79</v>
      </c>
      <c r="H21">
        <v>8.6999999999999993</v>
      </c>
      <c r="I21">
        <v>22</v>
      </c>
      <c r="J21">
        <v>5596</v>
      </c>
      <c r="K21">
        <v>4.1100000000000003</v>
      </c>
      <c r="L21">
        <f>IF(rawdata!$A21="Strip_Mall", 1, 0)</f>
        <v>0</v>
      </c>
      <c r="M21">
        <f>IF(rawdata!$A21="Mall", 1, 0)</f>
        <v>0</v>
      </c>
      <c r="N21">
        <f>IF(rawdata!$A21="Downtown", 1, 0)</f>
        <v>1</v>
      </c>
      <c r="O21">
        <f>IF(rawdata!$B21="Asian", 1, 0)</f>
        <v>0</v>
      </c>
      <c r="P21">
        <f>IF(rawdata!$B21="American", 1, 0)</f>
        <v>0</v>
      </c>
      <c r="Q21">
        <f>IF(rawdata!$B21="Italian", 1, 0)</f>
        <v>0</v>
      </c>
      <c r="R21">
        <f>IF(rawdata!$B21="Mexican", 1, 0)</f>
        <v>0</v>
      </c>
      <c r="S21">
        <f>IF(rawdata!$C21="Small", 1, 0)</f>
        <v>0</v>
      </c>
      <c r="T21">
        <f>IF(rawdata!$C21="Medium", 1, 0)</f>
        <v>0</v>
      </c>
      <c r="U21">
        <f>IF(rawdata!$D21="Yes", 1, 0)</f>
        <v>0</v>
      </c>
      <c r="V21">
        <f>IF(rawdata!$E21="Yes", 1, 0)</f>
        <v>1</v>
      </c>
      <c r="W21">
        <v>232925</v>
      </c>
      <c r="X21">
        <f t="shared" si="0"/>
        <v>12.358471792318626</v>
      </c>
    </row>
    <row r="22" spans="1:24" x14ac:dyDescent="0.3">
      <c r="A22" t="s">
        <v>12</v>
      </c>
      <c r="B22" t="s">
        <v>20</v>
      </c>
      <c r="C22" t="s">
        <v>17</v>
      </c>
      <c r="D22" t="s">
        <v>15</v>
      </c>
      <c r="E22" t="s">
        <v>15</v>
      </c>
      <c r="F22">
        <v>89</v>
      </c>
      <c r="G22">
        <v>31.03</v>
      </c>
      <c r="H22">
        <v>11.2</v>
      </c>
      <c r="I22">
        <v>21</v>
      </c>
      <c r="J22">
        <v>2926</v>
      </c>
      <c r="K22">
        <v>4.62</v>
      </c>
      <c r="L22">
        <f>IF(rawdata!$A22="Strip_Mall", 1, 0)</f>
        <v>1</v>
      </c>
      <c r="M22">
        <f>IF(rawdata!$A22="Mall", 1, 0)</f>
        <v>0</v>
      </c>
      <c r="N22">
        <f>IF(rawdata!$A22="Downtown", 1, 0)</f>
        <v>0</v>
      </c>
      <c r="O22">
        <f>IF(rawdata!$B22="Asian", 1, 0)</f>
        <v>0</v>
      </c>
      <c r="P22">
        <f>IF(rawdata!$B22="American", 1, 0)</f>
        <v>0</v>
      </c>
      <c r="Q22">
        <f>IF(rawdata!$B22="Italian", 1, 0)</f>
        <v>1</v>
      </c>
      <c r="R22">
        <f>IF(rawdata!$B22="Mexican", 1, 0)</f>
        <v>0</v>
      </c>
      <c r="S22">
        <f>IF(rawdata!$C22="Small", 1, 0)</f>
        <v>1</v>
      </c>
      <c r="T22">
        <f>IF(rawdata!$C22="Medium", 1, 0)</f>
        <v>0</v>
      </c>
      <c r="U22">
        <f>IF(rawdata!$D22="Yes", 1, 0)</f>
        <v>1</v>
      </c>
      <c r="V22">
        <f>IF(rawdata!$E22="Yes", 1, 0)</f>
        <v>1</v>
      </c>
      <c r="W22">
        <v>67276</v>
      </c>
      <c r="X22">
        <f t="shared" si="0"/>
        <v>11.116558839847324</v>
      </c>
    </row>
    <row r="23" spans="1:24" x14ac:dyDescent="0.3">
      <c r="A23" t="s">
        <v>18</v>
      </c>
      <c r="B23" t="s">
        <v>20</v>
      </c>
      <c r="C23" t="s">
        <v>23</v>
      </c>
      <c r="D23" t="s">
        <v>15</v>
      </c>
      <c r="E23" t="s">
        <v>15</v>
      </c>
      <c r="F23">
        <v>76</v>
      </c>
      <c r="G23">
        <v>18.71</v>
      </c>
      <c r="H23">
        <v>5.4</v>
      </c>
      <c r="I23">
        <v>22</v>
      </c>
      <c r="J23">
        <v>646</v>
      </c>
      <c r="K23">
        <v>3.71</v>
      </c>
      <c r="L23">
        <f>IF(rawdata!$A23="Strip_Mall", 1, 0)</f>
        <v>0</v>
      </c>
      <c r="M23">
        <f>IF(rawdata!$A23="Mall", 1, 0)</f>
        <v>0</v>
      </c>
      <c r="N23">
        <f>IF(rawdata!$A23="Downtown", 1, 0)</f>
        <v>0</v>
      </c>
      <c r="O23">
        <f>IF(rawdata!$B23="Asian", 1, 0)</f>
        <v>0</v>
      </c>
      <c r="P23">
        <f>IF(rawdata!$B23="American", 1, 0)</f>
        <v>0</v>
      </c>
      <c r="Q23">
        <f>IF(rawdata!$B23="Italian", 1, 0)</f>
        <v>1</v>
      </c>
      <c r="R23">
        <f>IF(rawdata!$B23="Mexican", 1, 0)</f>
        <v>0</v>
      </c>
      <c r="S23">
        <f>IF(rawdata!$C23="Small", 1, 0)</f>
        <v>0</v>
      </c>
      <c r="T23">
        <f>IF(rawdata!$C23="Medium", 1, 0)</f>
        <v>1</v>
      </c>
      <c r="U23">
        <f>IF(rawdata!$D23="Yes", 1, 0)</f>
        <v>1</v>
      </c>
      <c r="V23">
        <f>IF(rawdata!$E23="Yes", 1, 0)</f>
        <v>1</v>
      </c>
      <c r="W23">
        <v>82325</v>
      </c>
      <c r="X23">
        <f t="shared" si="0"/>
        <v>11.318430107244565</v>
      </c>
    </row>
    <row r="24" spans="1:24" x14ac:dyDescent="0.3">
      <c r="A24" t="s">
        <v>12</v>
      </c>
      <c r="B24" t="s">
        <v>13</v>
      </c>
      <c r="C24" t="s">
        <v>17</v>
      </c>
      <c r="D24" t="s">
        <v>15</v>
      </c>
      <c r="E24" t="s">
        <v>19</v>
      </c>
      <c r="F24">
        <v>79</v>
      </c>
      <c r="G24">
        <v>27.91</v>
      </c>
      <c r="H24">
        <v>2.6</v>
      </c>
      <c r="I24">
        <v>19</v>
      </c>
      <c r="J24">
        <v>2261</v>
      </c>
      <c r="K24">
        <v>4.33</v>
      </c>
      <c r="L24">
        <f>IF(rawdata!$A24="Strip_Mall", 1, 0)</f>
        <v>1</v>
      </c>
      <c r="M24">
        <f>IF(rawdata!$A24="Mall", 1, 0)</f>
        <v>0</v>
      </c>
      <c r="N24">
        <f>IF(rawdata!$A24="Downtown", 1, 0)</f>
        <v>0</v>
      </c>
      <c r="O24">
        <f>IF(rawdata!$B24="Asian", 1, 0)</f>
        <v>1</v>
      </c>
      <c r="P24">
        <f>IF(rawdata!$B24="American", 1, 0)</f>
        <v>0</v>
      </c>
      <c r="Q24">
        <f>IF(rawdata!$B24="Italian", 1, 0)</f>
        <v>0</v>
      </c>
      <c r="R24">
        <f>IF(rawdata!$B24="Mexican", 1, 0)</f>
        <v>0</v>
      </c>
      <c r="S24">
        <f>IF(rawdata!$C24="Small", 1, 0)</f>
        <v>1</v>
      </c>
      <c r="T24">
        <f>IF(rawdata!$C24="Medium", 1, 0)</f>
        <v>0</v>
      </c>
      <c r="U24">
        <f>IF(rawdata!$D24="Yes", 1, 0)</f>
        <v>1</v>
      </c>
      <c r="V24">
        <f>IF(rawdata!$E24="Yes", 1, 0)</f>
        <v>0</v>
      </c>
      <c r="W24">
        <v>41603</v>
      </c>
      <c r="X24">
        <f t="shared" si="0"/>
        <v>10.63592755903378</v>
      </c>
    </row>
    <row r="25" spans="1:24" x14ac:dyDescent="0.3">
      <c r="A25" t="s">
        <v>12</v>
      </c>
      <c r="B25" t="s">
        <v>13</v>
      </c>
      <c r="C25" t="s">
        <v>14</v>
      </c>
      <c r="D25" t="s">
        <v>15</v>
      </c>
      <c r="E25" t="s">
        <v>19</v>
      </c>
      <c r="F25">
        <v>86</v>
      </c>
      <c r="G25">
        <v>8</v>
      </c>
      <c r="H25">
        <v>6.2</v>
      </c>
      <c r="I25">
        <v>19</v>
      </c>
      <c r="J25">
        <v>1259</v>
      </c>
      <c r="K25">
        <v>4.72</v>
      </c>
      <c r="L25">
        <f>IF(rawdata!$A25="Strip_Mall", 1, 0)</f>
        <v>1</v>
      </c>
      <c r="M25">
        <f>IF(rawdata!$A25="Mall", 1, 0)</f>
        <v>0</v>
      </c>
      <c r="N25">
        <f>IF(rawdata!$A25="Downtown", 1, 0)</f>
        <v>0</v>
      </c>
      <c r="O25">
        <f>IF(rawdata!$B25="Asian", 1, 0)</f>
        <v>1</v>
      </c>
      <c r="P25">
        <f>IF(rawdata!$B25="American", 1, 0)</f>
        <v>0</v>
      </c>
      <c r="Q25">
        <f>IF(rawdata!$B25="Italian", 1, 0)</f>
        <v>0</v>
      </c>
      <c r="R25">
        <f>IF(rawdata!$B25="Mexican", 1, 0)</f>
        <v>0</v>
      </c>
      <c r="S25">
        <f>IF(rawdata!$C25="Small", 1, 0)</f>
        <v>0</v>
      </c>
      <c r="T25">
        <f>IF(rawdata!$C25="Medium", 1, 0)</f>
        <v>0</v>
      </c>
      <c r="U25">
        <f>IF(rawdata!$D25="Yes", 1, 0)</f>
        <v>1</v>
      </c>
      <c r="V25">
        <f>IF(rawdata!$E25="Yes", 1, 0)</f>
        <v>0</v>
      </c>
      <c r="W25">
        <v>64537</v>
      </c>
      <c r="X25">
        <f t="shared" si="0"/>
        <v>11.07499398172423</v>
      </c>
    </row>
    <row r="26" spans="1:24" x14ac:dyDescent="0.3">
      <c r="A26" t="s">
        <v>18</v>
      </c>
      <c r="B26" t="s">
        <v>25</v>
      </c>
      <c r="C26" t="s">
        <v>23</v>
      </c>
      <c r="D26" t="s">
        <v>15</v>
      </c>
      <c r="E26" t="s">
        <v>15</v>
      </c>
      <c r="F26">
        <v>65</v>
      </c>
      <c r="G26">
        <v>29.57</v>
      </c>
      <c r="H26">
        <v>25</v>
      </c>
      <c r="I26">
        <v>18</v>
      </c>
      <c r="J26">
        <v>8873</v>
      </c>
      <c r="K26">
        <v>3.88</v>
      </c>
      <c r="L26">
        <f>IF(rawdata!$A26="Strip_Mall", 1, 0)</f>
        <v>0</v>
      </c>
      <c r="M26">
        <f>IF(rawdata!$A26="Mall", 1, 0)</f>
        <v>0</v>
      </c>
      <c r="N26">
        <f>IF(rawdata!$A26="Downtown", 1, 0)</f>
        <v>0</v>
      </c>
      <c r="O26">
        <f>IF(rawdata!$B26="Asian", 1, 0)</f>
        <v>0</v>
      </c>
      <c r="P26">
        <f>IF(rawdata!$B26="American", 1, 0)</f>
        <v>0</v>
      </c>
      <c r="Q26">
        <f>IF(rawdata!$B26="Italian", 1, 0)</f>
        <v>0</v>
      </c>
      <c r="R26">
        <f>IF(rawdata!$B26="Mexican", 1, 0)</f>
        <v>0</v>
      </c>
      <c r="S26">
        <f>IF(rawdata!$C26="Small", 1, 0)</f>
        <v>0</v>
      </c>
      <c r="T26">
        <f>IF(rawdata!$C26="Medium", 1, 0)</f>
        <v>1</v>
      </c>
      <c r="U26">
        <f>IF(rawdata!$D26="Yes", 1, 0)</f>
        <v>1</v>
      </c>
      <c r="V26">
        <f>IF(rawdata!$E26="Yes", 1, 0)</f>
        <v>1</v>
      </c>
      <c r="W26">
        <v>135153</v>
      </c>
      <c r="X26">
        <f t="shared" si="0"/>
        <v>11.8141627490165</v>
      </c>
    </row>
    <row r="27" spans="1:24" x14ac:dyDescent="0.3">
      <c r="A27" t="s">
        <v>24</v>
      </c>
      <c r="B27" t="s">
        <v>20</v>
      </c>
      <c r="C27" t="s">
        <v>14</v>
      </c>
      <c r="D27" t="s">
        <v>19</v>
      </c>
      <c r="E27" t="s">
        <v>15</v>
      </c>
      <c r="F27">
        <v>108</v>
      </c>
      <c r="G27">
        <v>12.48</v>
      </c>
      <c r="H27">
        <v>11</v>
      </c>
      <c r="I27">
        <v>30</v>
      </c>
      <c r="J27">
        <v>3914</v>
      </c>
      <c r="K27">
        <v>4.68</v>
      </c>
      <c r="L27">
        <f>IF(rawdata!$A27="Strip_Mall", 1, 0)</f>
        <v>0</v>
      </c>
      <c r="M27">
        <f>IF(rawdata!$A27="Mall", 1, 0)</f>
        <v>0</v>
      </c>
      <c r="N27">
        <f>IF(rawdata!$A27="Downtown", 1, 0)</f>
        <v>1</v>
      </c>
      <c r="O27">
        <f>IF(rawdata!$B27="Asian", 1, 0)</f>
        <v>0</v>
      </c>
      <c r="P27">
        <f>IF(rawdata!$B27="American", 1, 0)</f>
        <v>0</v>
      </c>
      <c r="Q27">
        <f>IF(rawdata!$B27="Italian", 1, 0)</f>
        <v>1</v>
      </c>
      <c r="R27">
        <f>IF(rawdata!$B27="Mexican", 1, 0)</f>
        <v>0</v>
      </c>
      <c r="S27">
        <f>IF(rawdata!$C27="Small", 1, 0)</f>
        <v>0</v>
      </c>
      <c r="T27">
        <f>IF(rawdata!$C27="Medium", 1, 0)</f>
        <v>0</v>
      </c>
      <c r="U27">
        <f>IF(rawdata!$D27="Yes", 1, 0)</f>
        <v>0</v>
      </c>
      <c r="V27">
        <f>IF(rawdata!$E27="Yes", 1, 0)</f>
        <v>1</v>
      </c>
      <c r="W27">
        <v>247337</v>
      </c>
      <c r="X27">
        <f t="shared" si="0"/>
        <v>12.418507058169364</v>
      </c>
    </row>
    <row r="28" spans="1:24" x14ac:dyDescent="0.3">
      <c r="A28" t="s">
        <v>24</v>
      </c>
      <c r="B28" t="s">
        <v>22</v>
      </c>
      <c r="C28" t="s">
        <v>23</v>
      </c>
      <c r="D28" t="s">
        <v>15</v>
      </c>
      <c r="E28" t="s">
        <v>15</v>
      </c>
      <c r="F28">
        <v>87</v>
      </c>
      <c r="G28">
        <v>15.79</v>
      </c>
      <c r="H28">
        <v>5.4</v>
      </c>
      <c r="I28">
        <v>22</v>
      </c>
      <c r="J28">
        <v>3709</v>
      </c>
      <c r="K28">
        <v>4.8</v>
      </c>
      <c r="L28">
        <f>IF(rawdata!$A28="Strip_Mall", 1, 0)</f>
        <v>0</v>
      </c>
      <c r="M28">
        <f>IF(rawdata!$A28="Mall", 1, 0)</f>
        <v>0</v>
      </c>
      <c r="N28">
        <f>IF(rawdata!$A28="Downtown", 1, 0)</f>
        <v>1</v>
      </c>
      <c r="O28">
        <f>IF(rawdata!$B28="Asian", 1, 0)</f>
        <v>0</v>
      </c>
      <c r="P28">
        <f>IF(rawdata!$B28="American", 1, 0)</f>
        <v>0</v>
      </c>
      <c r="Q28">
        <f>IF(rawdata!$B28="Italian", 1, 0)</f>
        <v>0</v>
      </c>
      <c r="R28">
        <f>IF(rawdata!$B28="Mexican", 1, 0)</f>
        <v>1</v>
      </c>
      <c r="S28">
        <f>IF(rawdata!$C28="Small", 1, 0)</f>
        <v>0</v>
      </c>
      <c r="T28">
        <f>IF(rawdata!$C28="Medium", 1, 0)</f>
        <v>1</v>
      </c>
      <c r="U28">
        <f>IF(rawdata!$D28="Yes", 1, 0)</f>
        <v>1</v>
      </c>
      <c r="V28">
        <f>IF(rawdata!$E28="Yes", 1, 0)</f>
        <v>1</v>
      </c>
      <c r="W28">
        <v>86948</v>
      </c>
      <c r="X28">
        <f t="shared" si="0"/>
        <v>11.373065517792757</v>
      </c>
    </row>
    <row r="29" spans="1:24" x14ac:dyDescent="0.3">
      <c r="A29" t="s">
        <v>12</v>
      </c>
      <c r="B29" t="s">
        <v>22</v>
      </c>
      <c r="C29" t="s">
        <v>23</v>
      </c>
      <c r="D29" t="s">
        <v>19</v>
      </c>
      <c r="E29" t="s">
        <v>15</v>
      </c>
      <c r="F29">
        <v>44</v>
      </c>
      <c r="G29">
        <v>9.1199999999999992</v>
      </c>
      <c r="H29">
        <v>6.7</v>
      </c>
      <c r="I29">
        <v>16</v>
      </c>
      <c r="J29">
        <v>500</v>
      </c>
      <c r="K29">
        <v>4.62</v>
      </c>
      <c r="L29">
        <f>IF(rawdata!$A29="Strip_Mall", 1, 0)</f>
        <v>1</v>
      </c>
      <c r="M29">
        <f>IF(rawdata!$A29="Mall", 1, 0)</f>
        <v>0</v>
      </c>
      <c r="N29">
        <f>IF(rawdata!$A29="Downtown", 1, 0)</f>
        <v>0</v>
      </c>
      <c r="O29">
        <f>IF(rawdata!$B29="Asian", 1, 0)</f>
        <v>0</v>
      </c>
      <c r="P29">
        <f>IF(rawdata!$B29="American", 1, 0)</f>
        <v>0</v>
      </c>
      <c r="Q29">
        <f>IF(rawdata!$B29="Italian", 1, 0)</f>
        <v>0</v>
      </c>
      <c r="R29">
        <f>IF(rawdata!$B29="Mexican", 1, 0)</f>
        <v>1</v>
      </c>
      <c r="S29">
        <f>IF(rawdata!$C29="Small", 1, 0)</f>
        <v>0</v>
      </c>
      <c r="T29">
        <f>IF(rawdata!$C29="Medium", 1, 0)</f>
        <v>1</v>
      </c>
      <c r="U29">
        <f>IF(rawdata!$D29="Yes", 1, 0)</f>
        <v>0</v>
      </c>
      <c r="V29">
        <f>IF(rawdata!$E29="Yes", 1, 0)</f>
        <v>1</v>
      </c>
      <c r="W29">
        <v>29283</v>
      </c>
      <c r="X29">
        <f t="shared" si="0"/>
        <v>10.284762421843075</v>
      </c>
    </row>
    <row r="30" spans="1:24" x14ac:dyDescent="0.3">
      <c r="A30" t="s">
        <v>24</v>
      </c>
      <c r="B30" t="s">
        <v>16</v>
      </c>
      <c r="C30" t="s">
        <v>23</v>
      </c>
      <c r="D30" t="s">
        <v>19</v>
      </c>
      <c r="E30" t="s">
        <v>19</v>
      </c>
      <c r="F30">
        <v>110</v>
      </c>
      <c r="G30">
        <v>19.07</v>
      </c>
      <c r="H30">
        <v>4.7</v>
      </c>
      <c r="I30">
        <v>21</v>
      </c>
      <c r="J30">
        <v>1871</v>
      </c>
      <c r="K30">
        <v>4.68</v>
      </c>
      <c r="L30">
        <f>IF(rawdata!$A30="Strip_Mall", 1, 0)</f>
        <v>0</v>
      </c>
      <c r="M30">
        <f>IF(rawdata!$A30="Mall", 1, 0)</f>
        <v>0</v>
      </c>
      <c r="N30">
        <f>IF(rawdata!$A30="Downtown", 1, 0)</f>
        <v>1</v>
      </c>
      <c r="O30">
        <f>IF(rawdata!$B30="Asian", 1, 0)</f>
        <v>0</v>
      </c>
      <c r="P30">
        <f>IF(rawdata!$B30="American", 1, 0)</f>
        <v>1</v>
      </c>
      <c r="Q30">
        <f>IF(rawdata!$B30="Italian", 1, 0)</f>
        <v>0</v>
      </c>
      <c r="R30">
        <f>IF(rawdata!$B30="Mexican", 1, 0)</f>
        <v>0</v>
      </c>
      <c r="S30">
        <f>IF(rawdata!$C30="Small", 1, 0)</f>
        <v>0</v>
      </c>
      <c r="T30">
        <f>IF(rawdata!$C30="Medium", 1, 0)</f>
        <v>1</v>
      </c>
      <c r="U30">
        <f>IF(rawdata!$D30="Yes", 1, 0)</f>
        <v>0</v>
      </c>
      <c r="V30">
        <f>IF(rawdata!$E30="Yes", 1, 0)</f>
        <v>0</v>
      </c>
      <c r="W30">
        <v>63433</v>
      </c>
      <c r="X30">
        <f t="shared" si="0"/>
        <v>11.057739509741578</v>
      </c>
    </row>
    <row r="31" spans="1:24" x14ac:dyDescent="0.3">
      <c r="A31" t="s">
        <v>12</v>
      </c>
      <c r="B31" t="s">
        <v>25</v>
      </c>
      <c r="C31" t="s">
        <v>23</v>
      </c>
      <c r="D31" t="s">
        <v>19</v>
      </c>
      <c r="E31" t="s">
        <v>15</v>
      </c>
      <c r="F31">
        <v>105</v>
      </c>
      <c r="G31">
        <v>32.28</v>
      </c>
      <c r="H31">
        <v>2.4</v>
      </c>
      <c r="I31">
        <v>24</v>
      </c>
      <c r="J31">
        <v>6292</v>
      </c>
      <c r="K31">
        <v>4.4400000000000004</v>
      </c>
      <c r="L31">
        <f>IF(rawdata!$A31="Strip_Mall", 1, 0)</f>
        <v>1</v>
      </c>
      <c r="M31">
        <f>IF(rawdata!$A31="Mall", 1, 0)</f>
        <v>0</v>
      </c>
      <c r="N31">
        <f>IF(rawdata!$A31="Downtown", 1, 0)</f>
        <v>0</v>
      </c>
      <c r="O31">
        <f>IF(rawdata!$B31="Asian", 1, 0)</f>
        <v>0</v>
      </c>
      <c r="P31">
        <f>IF(rawdata!$B31="American", 1, 0)</f>
        <v>0</v>
      </c>
      <c r="Q31">
        <f>IF(rawdata!$B31="Italian", 1, 0)</f>
        <v>0</v>
      </c>
      <c r="R31">
        <f>IF(rawdata!$B31="Mexican", 1, 0)</f>
        <v>0</v>
      </c>
      <c r="S31">
        <f>IF(rawdata!$C31="Small", 1, 0)</f>
        <v>0</v>
      </c>
      <c r="T31">
        <f>IF(rawdata!$C31="Medium", 1, 0)</f>
        <v>1</v>
      </c>
      <c r="U31">
        <f>IF(rawdata!$D31="Yes", 1, 0)</f>
        <v>0</v>
      </c>
      <c r="V31">
        <f>IF(rawdata!$E31="Yes", 1, 0)</f>
        <v>1</v>
      </c>
      <c r="W31">
        <v>92926</v>
      </c>
      <c r="X31">
        <f t="shared" si="0"/>
        <v>11.439558756474243</v>
      </c>
    </row>
    <row r="32" spans="1:24" x14ac:dyDescent="0.3">
      <c r="A32" t="s">
        <v>21</v>
      </c>
      <c r="B32" t="s">
        <v>22</v>
      </c>
      <c r="C32" t="s">
        <v>23</v>
      </c>
      <c r="D32" t="s">
        <v>19</v>
      </c>
      <c r="E32" t="s">
        <v>15</v>
      </c>
      <c r="F32">
        <v>96</v>
      </c>
      <c r="G32">
        <v>37.380000000000003</v>
      </c>
      <c r="H32">
        <v>6.2</v>
      </c>
      <c r="I32">
        <v>24</v>
      </c>
      <c r="J32">
        <v>2462</v>
      </c>
      <c r="K32">
        <v>4.62</v>
      </c>
      <c r="L32">
        <f>IF(rawdata!$A32="Strip_Mall", 1, 0)</f>
        <v>0</v>
      </c>
      <c r="M32">
        <f>IF(rawdata!$A32="Mall", 1, 0)</f>
        <v>1</v>
      </c>
      <c r="N32">
        <f>IF(rawdata!$A32="Downtown", 1, 0)</f>
        <v>0</v>
      </c>
      <c r="O32">
        <f>IF(rawdata!$B32="Asian", 1, 0)</f>
        <v>0</v>
      </c>
      <c r="P32">
        <f>IF(rawdata!$B32="American", 1, 0)</f>
        <v>0</v>
      </c>
      <c r="Q32">
        <f>IF(rawdata!$B32="Italian", 1, 0)</f>
        <v>0</v>
      </c>
      <c r="R32">
        <f>IF(rawdata!$B32="Mexican", 1, 0)</f>
        <v>1</v>
      </c>
      <c r="S32">
        <f>IF(rawdata!$C32="Small", 1, 0)</f>
        <v>0</v>
      </c>
      <c r="T32">
        <f>IF(rawdata!$C32="Medium", 1, 0)</f>
        <v>1</v>
      </c>
      <c r="U32">
        <f>IF(rawdata!$D32="Yes", 1, 0)</f>
        <v>0</v>
      </c>
      <c r="V32">
        <f>IF(rawdata!$E32="Yes", 1, 0)</f>
        <v>1</v>
      </c>
      <c r="W32">
        <v>117793</v>
      </c>
      <c r="X32">
        <f t="shared" si="0"/>
        <v>11.676684125683597</v>
      </c>
    </row>
    <row r="33" spans="1:24" x14ac:dyDescent="0.3">
      <c r="A33" t="s">
        <v>12</v>
      </c>
      <c r="B33" t="s">
        <v>13</v>
      </c>
      <c r="C33" t="s">
        <v>23</v>
      </c>
      <c r="D33" t="s">
        <v>15</v>
      </c>
      <c r="E33" t="s">
        <v>15</v>
      </c>
      <c r="F33">
        <v>33</v>
      </c>
      <c r="G33">
        <v>9.39</v>
      </c>
      <c r="H33">
        <v>1.2</v>
      </c>
      <c r="I33">
        <v>18</v>
      </c>
      <c r="J33">
        <v>718</v>
      </c>
      <c r="K33">
        <v>4.21</v>
      </c>
      <c r="L33">
        <f>IF(rawdata!$A33="Strip_Mall", 1, 0)</f>
        <v>1</v>
      </c>
      <c r="M33">
        <f>IF(rawdata!$A33="Mall", 1, 0)</f>
        <v>0</v>
      </c>
      <c r="N33">
        <f>IF(rawdata!$A33="Downtown", 1, 0)</f>
        <v>0</v>
      </c>
      <c r="O33">
        <f>IF(rawdata!$B33="Asian", 1, 0)</f>
        <v>1</v>
      </c>
      <c r="P33">
        <f>IF(rawdata!$B33="American", 1, 0)</f>
        <v>0</v>
      </c>
      <c r="Q33">
        <f>IF(rawdata!$B33="Italian", 1, 0)</f>
        <v>0</v>
      </c>
      <c r="R33">
        <f>IF(rawdata!$B33="Mexican", 1, 0)</f>
        <v>0</v>
      </c>
      <c r="S33">
        <f>IF(rawdata!$C33="Small", 1, 0)</f>
        <v>0</v>
      </c>
      <c r="T33">
        <f>IF(rawdata!$C33="Medium", 1, 0)</f>
        <v>1</v>
      </c>
      <c r="U33">
        <f>IF(rawdata!$D33="Yes", 1, 0)</f>
        <v>1</v>
      </c>
      <c r="V33">
        <f>IF(rawdata!$E33="Yes", 1, 0)</f>
        <v>1</v>
      </c>
      <c r="W33">
        <v>38916</v>
      </c>
      <c r="X33">
        <f t="shared" si="0"/>
        <v>10.569160756095318</v>
      </c>
    </row>
    <row r="34" spans="1:24" x14ac:dyDescent="0.3">
      <c r="A34" t="s">
        <v>24</v>
      </c>
      <c r="B34" t="s">
        <v>13</v>
      </c>
      <c r="C34" t="s">
        <v>23</v>
      </c>
      <c r="D34" t="s">
        <v>15</v>
      </c>
      <c r="E34" t="s">
        <v>15</v>
      </c>
      <c r="F34">
        <v>61</v>
      </c>
      <c r="G34">
        <v>21.89</v>
      </c>
      <c r="H34">
        <v>1.2</v>
      </c>
      <c r="I34">
        <v>18</v>
      </c>
      <c r="J34">
        <v>652</v>
      </c>
      <c r="K34">
        <v>3.68</v>
      </c>
      <c r="L34">
        <f>IF(rawdata!$A34="Strip_Mall", 1, 0)</f>
        <v>0</v>
      </c>
      <c r="M34">
        <f>IF(rawdata!$A34="Mall", 1, 0)</f>
        <v>0</v>
      </c>
      <c r="N34">
        <f>IF(rawdata!$A34="Downtown", 1, 0)</f>
        <v>1</v>
      </c>
      <c r="O34">
        <f>IF(rawdata!$B34="Asian", 1, 0)</f>
        <v>1</v>
      </c>
      <c r="P34">
        <f>IF(rawdata!$B34="American", 1, 0)</f>
        <v>0</v>
      </c>
      <c r="Q34">
        <f>IF(rawdata!$B34="Italian", 1, 0)</f>
        <v>0</v>
      </c>
      <c r="R34">
        <f>IF(rawdata!$B34="Mexican", 1, 0)</f>
        <v>0</v>
      </c>
      <c r="S34">
        <f>IF(rawdata!$C34="Small", 1, 0)</f>
        <v>0</v>
      </c>
      <c r="T34">
        <f>IF(rawdata!$C34="Medium", 1, 0)</f>
        <v>1</v>
      </c>
      <c r="U34">
        <f>IF(rawdata!$D34="Yes", 1, 0)</f>
        <v>1</v>
      </c>
      <c r="V34">
        <f>IF(rawdata!$E34="Yes", 1, 0)</f>
        <v>1</v>
      </c>
      <c r="W34">
        <v>71817</v>
      </c>
      <c r="X34">
        <f t="shared" si="0"/>
        <v>11.181876495813235</v>
      </c>
    </row>
    <row r="35" spans="1:24" x14ac:dyDescent="0.3">
      <c r="A35" t="s">
        <v>21</v>
      </c>
      <c r="B35" t="s">
        <v>22</v>
      </c>
      <c r="C35" t="s">
        <v>23</v>
      </c>
      <c r="D35" t="s">
        <v>15</v>
      </c>
      <c r="E35" t="s">
        <v>15</v>
      </c>
      <c r="F35">
        <v>91</v>
      </c>
      <c r="G35">
        <v>29.11</v>
      </c>
      <c r="H35">
        <v>3</v>
      </c>
      <c r="I35">
        <v>19</v>
      </c>
      <c r="J35">
        <v>15000</v>
      </c>
      <c r="K35">
        <v>4.6399999999999997</v>
      </c>
      <c r="L35">
        <f>IF(rawdata!$A35="Strip_Mall", 1, 0)</f>
        <v>0</v>
      </c>
      <c r="M35">
        <f>IF(rawdata!$A35="Mall", 1, 0)</f>
        <v>1</v>
      </c>
      <c r="N35">
        <f>IF(rawdata!$A35="Downtown", 1, 0)</f>
        <v>0</v>
      </c>
      <c r="O35">
        <f>IF(rawdata!$B35="Asian", 1, 0)</f>
        <v>0</v>
      </c>
      <c r="P35">
        <f>IF(rawdata!$B35="American", 1, 0)</f>
        <v>0</v>
      </c>
      <c r="Q35">
        <f>IF(rawdata!$B35="Italian", 1, 0)</f>
        <v>0</v>
      </c>
      <c r="R35">
        <f>IF(rawdata!$B35="Mexican", 1, 0)</f>
        <v>1</v>
      </c>
      <c r="S35">
        <f>IF(rawdata!$C35="Small", 1, 0)</f>
        <v>0</v>
      </c>
      <c r="T35">
        <f>IF(rawdata!$C35="Medium", 1, 0)</f>
        <v>1</v>
      </c>
      <c r="U35">
        <f>IF(rawdata!$D35="Yes", 1, 0)</f>
        <v>1</v>
      </c>
      <c r="V35">
        <f>IF(rawdata!$E35="Yes", 1, 0)</f>
        <v>1</v>
      </c>
      <c r="W35">
        <v>119607</v>
      </c>
      <c r="X35">
        <f t="shared" si="0"/>
        <v>11.69196664721404</v>
      </c>
    </row>
    <row r="36" spans="1:24" x14ac:dyDescent="0.3">
      <c r="A36" t="s">
        <v>18</v>
      </c>
      <c r="B36" t="s">
        <v>22</v>
      </c>
      <c r="C36" t="s">
        <v>14</v>
      </c>
      <c r="D36" t="s">
        <v>15</v>
      </c>
      <c r="E36" t="s">
        <v>19</v>
      </c>
      <c r="F36">
        <v>76</v>
      </c>
      <c r="G36">
        <v>16.43</v>
      </c>
      <c r="H36">
        <v>1.5</v>
      </c>
      <c r="I36">
        <v>23</v>
      </c>
      <c r="J36">
        <v>12703</v>
      </c>
      <c r="K36">
        <v>4.1399999999999997</v>
      </c>
      <c r="L36">
        <f>IF(rawdata!$A36="Strip_Mall", 1, 0)</f>
        <v>0</v>
      </c>
      <c r="M36">
        <f>IF(rawdata!$A36="Mall", 1, 0)</f>
        <v>0</v>
      </c>
      <c r="N36">
        <f>IF(rawdata!$A36="Downtown", 1, 0)</f>
        <v>0</v>
      </c>
      <c r="O36">
        <f>IF(rawdata!$B36="Asian", 1, 0)</f>
        <v>0</v>
      </c>
      <c r="P36">
        <f>IF(rawdata!$B36="American", 1, 0)</f>
        <v>0</v>
      </c>
      <c r="Q36">
        <f>IF(rawdata!$B36="Italian", 1, 0)</f>
        <v>0</v>
      </c>
      <c r="R36">
        <f>IF(rawdata!$B36="Mexican", 1, 0)</f>
        <v>1</v>
      </c>
      <c r="S36">
        <f>IF(rawdata!$C36="Small", 1, 0)</f>
        <v>0</v>
      </c>
      <c r="T36">
        <f>IF(rawdata!$C36="Medium", 1, 0)</f>
        <v>0</v>
      </c>
      <c r="U36">
        <f>IF(rawdata!$D36="Yes", 1, 0)</f>
        <v>1</v>
      </c>
      <c r="V36">
        <f>IF(rawdata!$E36="Yes", 1, 0)</f>
        <v>0</v>
      </c>
      <c r="W36">
        <v>93957</v>
      </c>
      <c r="X36">
        <f t="shared" si="0"/>
        <v>11.45059250978292</v>
      </c>
    </row>
    <row r="37" spans="1:24" x14ac:dyDescent="0.3">
      <c r="A37" t="s">
        <v>12</v>
      </c>
      <c r="B37" t="s">
        <v>13</v>
      </c>
      <c r="C37" t="s">
        <v>14</v>
      </c>
      <c r="D37" t="s">
        <v>15</v>
      </c>
      <c r="E37" t="s">
        <v>15</v>
      </c>
      <c r="F37">
        <v>84</v>
      </c>
      <c r="G37">
        <v>16.25</v>
      </c>
      <c r="H37">
        <v>1.8</v>
      </c>
      <c r="I37">
        <v>22</v>
      </c>
      <c r="J37">
        <v>1447</v>
      </c>
      <c r="K37">
        <v>4.9000000000000004</v>
      </c>
      <c r="L37">
        <f>IF(rawdata!$A37="Strip_Mall", 1, 0)</f>
        <v>1</v>
      </c>
      <c r="M37">
        <f>IF(rawdata!$A37="Mall", 1, 0)</f>
        <v>0</v>
      </c>
      <c r="N37">
        <f>IF(rawdata!$A37="Downtown", 1, 0)</f>
        <v>0</v>
      </c>
      <c r="O37">
        <f>IF(rawdata!$B37="Asian", 1, 0)</f>
        <v>1</v>
      </c>
      <c r="P37">
        <f>IF(rawdata!$B37="American", 1, 0)</f>
        <v>0</v>
      </c>
      <c r="Q37">
        <f>IF(rawdata!$B37="Italian", 1, 0)</f>
        <v>0</v>
      </c>
      <c r="R37">
        <f>IF(rawdata!$B37="Mexican", 1, 0)</f>
        <v>0</v>
      </c>
      <c r="S37">
        <f>IF(rawdata!$C37="Small", 1, 0)</f>
        <v>0</v>
      </c>
      <c r="T37">
        <f>IF(rawdata!$C37="Medium", 1, 0)</f>
        <v>0</v>
      </c>
      <c r="U37">
        <f>IF(rawdata!$D37="Yes", 1, 0)</f>
        <v>1</v>
      </c>
      <c r="V37">
        <f>IF(rawdata!$E37="Yes", 1, 0)</f>
        <v>1</v>
      </c>
      <c r="W37">
        <v>95590</v>
      </c>
      <c r="X37">
        <f t="shared" si="0"/>
        <v>11.467823491057809</v>
      </c>
    </row>
    <row r="38" spans="1:24" x14ac:dyDescent="0.3">
      <c r="A38" t="s">
        <v>18</v>
      </c>
      <c r="B38" t="s">
        <v>25</v>
      </c>
      <c r="C38" t="s">
        <v>23</v>
      </c>
      <c r="D38" t="s">
        <v>15</v>
      </c>
      <c r="E38" t="s">
        <v>15</v>
      </c>
      <c r="F38">
        <v>136</v>
      </c>
      <c r="G38">
        <v>15.56</v>
      </c>
      <c r="H38">
        <v>6.7</v>
      </c>
      <c r="I38">
        <v>27</v>
      </c>
      <c r="J38">
        <v>2305</v>
      </c>
      <c r="K38">
        <v>4.1100000000000003</v>
      </c>
      <c r="L38">
        <f>IF(rawdata!$A38="Strip_Mall", 1, 0)</f>
        <v>0</v>
      </c>
      <c r="M38">
        <f>IF(rawdata!$A38="Mall", 1, 0)</f>
        <v>0</v>
      </c>
      <c r="N38">
        <f>IF(rawdata!$A38="Downtown", 1, 0)</f>
        <v>0</v>
      </c>
      <c r="O38">
        <f>IF(rawdata!$B38="Asian", 1, 0)</f>
        <v>0</v>
      </c>
      <c r="P38">
        <f>IF(rawdata!$B38="American", 1, 0)</f>
        <v>0</v>
      </c>
      <c r="Q38">
        <f>IF(rawdata!$B38="Italian", 1, 0)</f>
        <v>0</v>
      </c>
      <c r="R38">
        <f>IF(rawdata!$B38="Mexican", 1, 0)</f>
        <v>0</v>
      </c>
      <c r="S38">
        <f>IF(rawdata!$C38="Small", 1, 0)</f>
        <v>0</v>
      </c>
      <c r="T38">
        <f>IF(rawdata!$C38="Medium", 1, 0)</f>
        <v>1</v>
      </c>
      <c r="U38">
        <f>IF(rawdata!$D38="Yes", 1, 0)</f>
        <v>1</v>
      </c>
      <c r="V38">
        <f>IF(rawdata!$E38="Yes", 1, 0)</f>
        <v>1</v>
      </c>
      <c r="W38">
        <v>89153</v>
      </c>
      <c r="X38">
        <f t="shared" si="0"/>
        <v>11.398109273874846</v>
      </c>
    </row>
    <row r="39" spans="1:24" x14ac:dyDescent="0.3">
      <c r="A39" t="s">
        <v>18</v>
      </c>
      <c r="B39" t="s">
        <v>16</v>
      </c>
      <c r="C39" t="s">
        <v>14</v>
      </c>
      <c r="D39" t="s">
        <v>15</v>
      </c>
      <c r="E39" t="s">
        <v>15</v>
      </c>
      <c r="F39">
        <v>55</v>
      </c>
      <c r="G39">
        <v>22.78</v>
      </c>
      <c r="H39">
        <v>1.6</v>
      </c>
      <c r="I39">
        <v>22</v>
      </c>
      <c r="J39">
        <v>2994</v>
      </c>
      <c r="K39">
        <v>3.91</v>
      </c>
      <c r="L39">
        <f>IF(rawdata!$A39="Strip_Mall", 1, 0)</f>
        <v>0</v>
      </c>
      <c r="M39">
        <f>IF(rawdata!$A39="Mall", 1, 0)</f>
        <v>0</v>
      </c>
      <c r="N39">
        <f>IF(rawdata!$A39="Downtown", 1, 0)</f>
        <v>0</v>
      </c>
      <c r="O39">
        <f>IF(rawdata!$B39="Asian", 1, 0)</f>
        <v>0</v>
      </c>
      <c r="P39">
        <f>IF(rawdata!$B39="American", 1, 0)</f>
        <v>1</v>
      </c>
      <c r="Q39">
        <f>IF(rawdata!$B39="Italian", 1, 0)</f>
        <v>0</v>
      </c>
      <c r="R39">
        <f>IF(rawdata!$B39="Mexican", 1, 0)</f>
        <v>0</v>
      </c>
      <c r="S39">
        <f>IF(rawdata!$C39="Small", 1, 0)</f>
        <v>0</v>
      </c>
      <c r="T39">
        <f>IF(rawdata!$C39="Medium", 1, 0)</f>
        <v>0</v>
      </c>
      <c r="U39">
        <f>IF(rawdata!$D39="Yes", 1, 0)</f>
        <v>1</v>
      </c>
      <c r="V39">
        <f>IF(rawdata!$E39="Yes", 1, 0)</f>
        <v>1</v>
      </c>
      <c r="W39">
        <v>105299</v>
      </c>
      <c r="X39">
        <f t="shared" si="0"/>
        <v>11.56455920140081</v>
      </c>
    </row>
    <row r="40" spans="1:24" x14ac:dyDescent="0.3">
      <c r="A40" t="s">
        <v>12</v>
      </c>
      <c r="B40" t="s">
        <v>25</v>
      </c>
      <c r="C40" t="s">
        <v>17</v>
      </c>
      <c r="D40" t="s">
        <v>19</v>
      </c>
      <c r="E40" t="s">
        <v>15</v>
      </c>
      <c r="F40">
        <v>22</v>
      </c>
      <c r="G40">
        <v>29.18</v>
      </c>
      <c r="H40">
        <v>17.600000000000001</v>
      </c>
      <c r="I40">
        <v>10</v>
      </c>
      <c r="J40">
        <v>792</v>
      </c>
      <c r="K40">
        <v>4.6900000000000004</v>
      </c>
      <c r="L40">
        <f>IF(rawdata!$A40="Strip_Mall", 1, 0)</f>
        <v>1</v>
      </c>
      <c r="M40">
        <f>IF(rawdata!$A40="Mall", 1, 0)</f>
        <v>0</v>
      </c>
      <c r="N40">
        <f>IF(rawdata!$A40="Downtown", 1, 0)</f>
        <v>0</v>
      </c>
      <c r="O40">
        <f>IF(rawdata!$B40="Asian", 1, 0)</f>
        <v>0</v>
      </c>
      <c r="P40">
        <f>IF(rawdata!$B40="American", 1, 0)</f>
        <v>0</v>
      </c>
      <c r="Q40">
        <f>IF(rawdata!$B40="Italian", 1, 0)</f>
        <v>0</v>
      </c>
      <c r="R40">
        <f>IF(rawdata!$B40="Mexican", 1, 0)</f>
        <v>0</v>
      </c>
      <c r="S40">
        <f>IF(rawdata!$C40="Small", 1, 0)</f>
        <v>1</v>
      </c>
      <c r="T40">
        <f>IF(rawdata!$C40="Medium", 1, 0)</f>
        <v>0</v>
      </c>
      <c r="U40">
        <f>IF(rawdata!$D40="Yes", 1, 0)</f>
        <v>0</v>
      </c>
      <c r="V40">
        <f>IF(rawdata!$E40="Yes", 1, 0)</f>
        <v>1</v>
      </c>
      <c r="W40">
        <v>42671</v>
      </c>
      <c r="X40">
        <f t="shared" si="0"/>
        <v>10.661274811576522</v>
      </c>
    </row>
    <row r="41" spans="1:24" x14ac:dyDescent="0.3">
      <c r="A41" t="s">
        <v>21</v>
      </c>
      <c r="B41" t="s">
        <v>13</v>
      </c>
      <c r="C41" t="s">
        <v>17</v>
      </c>
      <c r="D41" t="s">
        <v>15</v>
      </c>
      <c r="E41" t="s">
        <v>15</v>
      </c>
      <c r="F41">
        <v>82</v>
      </c>
      <c r="G41">
        <v>23.5</v>
      </c>
      <c r="H41">
        <v>0.5</v>
      </c>
      <c r="I41">
        <v>23</v>
      </c>
      <c r="J41">
        <v>13643</v>
      </c>
      <c r="K41">
        <v>3.81</v>
      </c>
      <c r="L41">
        <f>IF(rawdata!$A41="Strip_Mall", 1, 0)</f>
        <v>0</v>
      </c>
      <c r="M41">
        <f>IF(rawdata!$A41="Mall", 1, 0)</f>
        <v>1</v>
      </c>
      <c r="N41">
        <f>IF(rawdata!$A41="Downtown", 1, 0)</f>
        <v>0</v>
      </c>
      <c r="O41">
        <f>IF(rawdata!$B41="Asian", 1, 0)</f>
        <v>1</v>
      </c>
      <c r="P41">
        <f>IF(rawdata!$B41="American", 1, 0)</f>
        <v>0</v>
      </c>
      <c r="Q41">
        <f>IF(rawdata!$B41="Italian", 1, 0)</f>
        <v>0</v>
      </c>
      <c r="R41">
        <f>IF(rawdata!$B41="Mexican", 1, 0)</f>
        <v>0</v>
      </c>
      <c r="S41">
        <f>IF(rawdata!$C41="Small", 1, 0)</f>
        <v>1</v>
      </c>
      <c r="T41">
        <f>IF(rawdata!$C41="Medium", 1, 0)</f>
        <v>0</v>
      </c>
      <c r="U41">
        <f>IF(rawdata!$D41="Yes", 1, 0)</f>
        <v>1</v>
      </c>
      <c r="V41">
        <f>IF(rawdata!$E41="Yes", 1, 0)</f>
        <v>1</v>
      </c>
      <c r="W41">
        <v>73603</v>
      </c>
      <c r="X41">
        <f t="shared" si="0"/>
        <v>11.206441064755831</v>
      </c>
    </row>
    <row r="42" spans="1:24" x14ac:dyDescent="0.3">
      <c r="A42" t="s">
        <v>24</v>
      </c>
      <c r="B42" t="s">
        <v>16</v>
      </c>
      <c r="C42" t="s">
        <v>23</v>
      </c>
      <c r="D42" t="s">
        <v>15</v>
      </c>
      <c r="E42" t="s">
        <v>19</v>
      </c>
      <c r="F42">
        <v>58</v>
      </c>
      <c r="G42">
        <v>20.56</v>
      </c>
      <c r="H42">
        <v>2.8</v>
      </c>
      <c r="I42">
        <v>20</v>
      </c>
      <c r="J42">
        <v>2181</v>
      </c>
      <c r="K42">
        <v>4.12</v>
      </c>
      <c r="L42">
        <f>IF(rawdata!$A42="Strip_Mall", 1, 0)</f>
        <v>0</v>
      </c>
      <c r="M42">
        <f>IF(rawdata!$A42="Mall", 1, 0)</f>
        <v>0</v>
      </c>
      <c r="N42">
        <f>IF(rawdata!$A42="Downtown", 1, 0)</f>
        <v>1</v>
      </c>
      <c r="O42">
        <f>IF(rawdata!$B42="Asian", 1, 0)</f>
        <v>0</v>
      </c>
      <c r="P42">
        <f>IF(rawdata!$B42="American", 1, 0)</f>
        <v>1</v>
      </c>
      <c r="Q42">
        <f>IF(rawdata!$B42="Italian", 1, 0)</f>
        <v>0</v>
      </c>
      <c r="R42">
        <f>IF(rawdata!$B42="Mexican", 1, 0)</f>
        <v>0</v>
      </c>
      <c r="S42">
        <f>IF(rawdata!$C42="Small", 1, 0)</f>
        <v>0</v>
      </c>
      <c r="T42">
        <f>IF(rawdata!$C42="Medium", 1, 0)</f>
        <v>1</v>
      </c>
      <c r="U42">
        <f>IF(rawdata!$D42="Yes", 1, 0)</f>
        <v>1</v>
      </c>
      <c r="V42">
        <f>IF(rawdata!$E42="Yes", 1, 0)</f>
        <v>0</v>
      </c>
      <c r="W42">
        <v>92695</v>
      </c>
      <c r="X42">
        <f t="shared" si="0"/>
        <v>11.437069812666692</v>
      </c>
    </row>
    <row r="43" spans="1:24" x14ac:dyDescent="0.3">
      <c r="A43" t="s">
        <v>24</v>
      </c>
      <c r="B43" t="s">
        <v>16</v>
      </c>
      <c r="C43" t="s">
        <v>17</v>
      </c>
      <c r="D43" t="s">
        <v>15</v>
      </c>
      <c r="E43" t="s">
        <v>19</v>
      </c>
      <c r="F43">
        <v>86</v>
      </c>
      <c r="G43">
        <v>15.59</v>
      </c>
      <c r="H43">
        <v>10.1</v>
      </c>
      <c r="I43">
        <v>15</v>
      </c>
      <c r="J43">
        <v>3137</v>
      </c>
      <c r="K43">
        <v>4.3600000000000003</v>
      </c>
      <c r="L43">
        <f>IF(rawdata!$A43="Strip_Mall", 1, 0)</f>
        <v>0</v>
      </c>
      <c r="M43">
        <f>IF(rawdata!$A43="Mall", 1, 0)</f>
        <v>0</v>
      </c>
      <c r="N43">
        <f>IF(rawdata!$A43="Downtown", 1, 0)</f>
        <v>1</v>
      </c>
      <c r="O43">
        <f>IF(rawdata!$B43="Asian", 1, 0)</f>
        <v>0</v>
      </c>
      <c r="P43">
        <f>IF(rawdata!$B43="American", 1, 0)</f>
        <v>1</v>
      </c>
      <c r="Q43">
        <f>IF(rawdata!$B43="Italian", 1, 0)</f>
        <v>0</v>
      </c>
      <c r="R43">
        <f>IF(rawdata!$B43="Mexican", 1, 0)</f>
        <v>0</v>
      </c>
      <c r="S43">
        <f>IF(rawdata!$C43="Small", 1, 0)</f>
        <v>1</v>
      </c>
      <c r="T43">
        <f>IF(rawdata!$C43="Medium", 1, 0)</f>
        <v>0</v>
      </c>
      <c r="U43">
        <f>IF(rawdata!$D43="Yes", 1, 0)</f>
        <v>1</v>
      </c>
      <c r="V43">
        <f>IF(rawdata!$E43="Yes", 1, 0)</f>
        <v>0</v>
      </c>
      <c r="W43">
        <v>51349</v>
      </c>
      <c r="X43">
        <f t="shared" si="0"/>
        <v>10.84640074097039</v>
      </c>
    </row>
    <row r="44" spans="1:24" x14ac:dyDescent="0.3">
      <c r="A44" t="s">
        <v>18</v>
      </c>
      <c r="B44" t="s">
        <v>13</v>
      </c>
      <c r="C44" t="s">
        <v>23</v>
      </c>
      <c r="D44" t="s">
        <v>19</v>
      </c>
      <c r="E44" t="s">
        <v>15</v>
      </c>
      <c r="F44">
        <v>55</v>
      </c>
      <c r="G44">
        <v>21.99</v>
      </c>
      <c r="H44">
        <v>6.5</v>
      </c>
      <c r="I44">
        <v>16</v>
      </c>
      <c r="J44">
        <v>500</v>
      </c>
      <c r="K44">
        <v>3.9</v>
      </c>
      <c r="L44">
        <f>IF(rawdata!$A44="Strip_Mall", 1, 0)</f>
        <v>0</v>
      </c>
      <c r="M44">
        <f>IF(rawdata!$A44="Mall", 1, 0)</f>
        <v>0</v>
      </c>
      <c r="N44">
        <f>IF(rawdata!$A44="Downtown", 1, 0)</f>
        <v>0</v>
      </c>
      <c r="O44">
        <f>IF(rawdata!$B44="Asian", 1, 0)</f>
        <v>1</v>
      </c>
      <c r="P44">
        <f>IF(rawdata!$B44="American", 1, 0)</f>
        <v>0</v>
      </c>
      <c r="Q44">
        <f>IF(rawdata!$B44="Italian", 1, 0)</f>
        <v>0</v>
      </c>
      <c r="R44">
        <f>IF(rawdata!$B44="Mexican", 1, 0)</f>
        <v>0</v>
      </c>
      <c r="S44">
        <f>IF(rawdata!$C44="Small", 1, 0)</f>
        <v>0</v>
      </c>
      <c r="T44">
        <f>IF(rawdata!$C44="Medium", 1, 0)</f>
        <v>1</v>
      </c>
      <c r="U44">
        <f>IF(rawdata!$D44="Yes", 1, 0)</f>
        <v>0</v>
      </c>
      <c r="V44">
        <f>IF(rawdata!$E44="Yes", 1, 0)</f>
        <v>1</v>
      </c>
      <c r="W44">
        <v>57945</v>
      </c>
      <c r="X44">
        <f t="shared" si="0"/>
        <v>10.967249563768492</v>
      </c>
    </row>
    <row r="45" spans="1:24" x14ac:dyDescent="0.3">
      <c r="A45" t="s">
        <v>12</v>
      </c>
      <c r="B45" t="s">
        <v>25</v>
      </c>
      <c r="C45" t="s">
        <v>23</v>
      </c>
      <c r="D45" t="s">
        <v>15</v>
      </c>
      <c r="E45" t="s">
        <v>19</v>
      </c>
      <c r="F45">
        <v>130</v>
      </c>
      <c r="G45">
        <v>13.6</v>
      </c>
      <c r="H45">
        <v>5.5</v>
      </c>
      <c r="I45">
        <v>28</v>
      </c>
      <c r="J45">
        <v>3407</v>
      </c>
      <c r="K45">
        <v>2.66</v>
      </c>
      <c r="L45">
        <f>IF(rawdata!$A45="Strip_Mall", 1, 0)</f>
        <v>1</v>
      </c>
      <c r="M45">
        <f>IF(rawdata!$A45="Mall", 1, 0)</f>
        <v>0</v>
      </c>
      <c r="N45">
        <f>IF(rawdata!$A45="Downtown", 1, 0)</f>
        <v>0</v>
      </c>
      <c r="O45">
        <f>IF(rawdata!$B45="Asian", 1, 0)</f>
        <v>0</v>
      </c>
      <c r="P45">
        <f>IF(rawdata!$B45="American", 1, 0)</f>
        <v>0</v>
      </c>
      <c r="Q45">
        <f>IF(rawdata!$B45="Italian", 1, 0)</f>
        <v>0</v>
      </c>
      <c r="R45">
        <f>IF(rawdata!$B45="Mexican", 1, 0)</f>
        <v>0</v>
      </c>
      <c r="S45">
        <f>IF(rawdata!$C45="Small", 1, 0)</f>
        <v>0</v>
      </c>
      <c r="T45">
        <f>IF(rawdata!$C45="Medium", 1, 0)</f>
        <v>1</v>
      </c>
      <c r="U45">
        <f>IF(rawdata!$D45="Yes", 1, 0)</f>
        <v>1</v>
      </c>
      <c r="V45">
        <f>IF(rawdata!$E45="Yes", 1, 0)</f>
        <v>0</v>
      </c>
      <c r="W45">
        <v>46374</v>
      </c>
      <c r="X45">
        <f t="shared" si="0"/>
        <v>10.744494236334926</v>
      </c>
    </row>
    <row r="46" spans="1:24" x14ac:dyDescent="0.3">
      <c r="A46" t="s">
        <v>24</v>
      </c>
      <c r="B46" t="s">
        <v>25</v>
      </c>
      <c r="C46" t="s">
        <v>17</v>
      </c>
      <c r="D46" t="s">
        <v>15</v>
      </c>
      <c r="E46" t="s">
        <v>15</v>
      </c>
      <c r="F46">
        <v>72</v>
      </c>
      <c r="G46">
        <v>15.77</v>
      </c>
      <c r="H46">
        <v>14.5</v>
      </c>
      <c r="I46">
        <v>21</v>
      </c>
      <c r="J46">
        <v>500</v>
      </c>
      <c r="K46">
        <v>4.7699999999999996</v>
      </c>
      <c r="L46">
        <f>IF(rawdata!$A46="Strip_Mall", 1, 0)</f>
        <v>0</v>
      </c>
      <c r="M46">
        <f>IF(rawdata!$A46="Mall", 1, 0)</f>
        <v>0</v>
      </c>
      <c r="N46">
        <f>IF(rawdata!$A46="Downtown", 1, 0)</f>
        <v>1</v>
      </c>
      <c r="O46">
        <f>IF(rawdata!$B46="Asian", 1, 0)</f>
        <v>0</v>
      </c>
      <c r="P46">
        <f>IF(rawdata!$B46="American", 1, 0)</f>
        <v>0</v>
      </c>
      <c r="Q46">
        <f>IF(rawdata!$B46="Italian", 1, 0)</f>
        <v>0</v>
      </c>
      <c r="R46">
        <f>IF(rawdata!$B46="Mexican", 1, 0)</f>
        <v>0</v>
      </c>
      <c r="S46">
        <f>IF(rawdata!$C46="Small", 1, 0)</f>
        <v>1</v>
      </c>
      <c r="T46">
        <f>IF(rawdata!$C46="Medium", 1, 0)</f>
        <v>0</v>
      </c>
      <c r="U46">
        <f>IF(rawdata!$D46="Yes", 1, 0)</f>
        <v>1</v>
      </c>
      <c r="V46">
        <f>IF(rawdata!$E46="Yes", 1, 0)</f>
        <v>1</v>
      </c>
      <c r="W46">
        <v>101625</v>
      </c>
      <c r="X46">
        <f t="shared" si="0"/>
        <v>11.529044846850113</v>
      </c>
    </row>
    <row r="47" spans="1:24" x14ac:dyDescent="0.3">
      <c r="A47" t="s">
        <v>12</v>
      </c>
      <c r="B47" t="s">
        <v>25</v>
      </c>
      <c r="C47" t="s">
        <v>17</v>
      </c>
      <c r="D47" t="s">
        <v>15</v>
      </c>
      <c r="E47" t="s">
        <v>15</v>
      </c>
      <c r="F47">
        <v>63</v>
      </c>
      <c r="G47">
        <v>26.77</v>
      </c>
      <c r="H47">
        <v>6</v>
      </c>
      <c r="I47">
        <v>20</v>
      </c>
      <c r="J47">
        <v>853</v>
      </c>
      <c r="K47">
        <v>3.67</v>
      </c>
      <c r="L47">
        <f>IF(rawdata!$A47="Strip_Mall", 1, 0)</f>
        <v>1</v>
      </c>
      <c r="M47">
        <f>IF(rawdata!$A47="Mall", 1, 0)</f>
        <v>0</v>
      </c>
      <c r="N47">
        <f>IF(rawdata!$A47="Downtown", 1, 0)</f>
        <v>0</v>
      </c>
      <c r="O47">
        <f>IF(rawdata!$B47="Asian", 1, 0)</f>
        <v>0</v>
      </c>
      <c r="P47">
        <f>IF(rawdata!$B47="American", 1, 0)</f>
        <v>0</v>
      </c>
      <c r="Q47">
        <f>IF(rawdata!$B47="Italian", 1, 0)</f>
        <v>0</v>
      </c>
      <c r="R47">
        <f>IF(rawdata!$B47="Mexican", 1, 0)</f>
        <v>0</v>
      </c>
      <c r="S47">
        <f>IF(rawdata!$C47="Small", 1, 0)</f>
        <v>1</v>
      </c>
      <c r="T47">
        <f>IF(rawdata!$C47="Medium", 1, 0)</f>
        <v>0</v>
      </c>
      <c r="U47">
        <f>IF(rawdata!$D47="Yes", 1, 0)</f>
        <v>1</v>
      </c>
      <c r="V47">
        <f>IF(rawdata!$E47="Yes", 1, 0)</f>
        <v>1</v>
      </c>
      <c r="W47">
        <v>43602</v>
      </c>
      <c r="X47">
        <f t="shared" si="0"/>
        <v>10.682858299844691</v>
      </c>
    </row>
    <row r="48" spans="1:24" x14ac:dyDescent="0.3">
      <c r="A48" t="s">
        <v>12</v>
      </c>
      <c r="B48" t="s">
        <v>16</v>
      </c>
      <c r="C48" t="s">
        <v>23</v>
      </c>
      <c r="D48" t="s">
        <v>19</v>
      </c>
      <c r="E48" t="s">
        <v>15</v>
      </c>
      <c r="F48">
        <v>71</v>
      </c>
      <c r="G48">
        <v>21.54</v>
      </c>
      <c r="H48">
        <v>2.1</v>
      </c>
      <c r="I48">
        <v>20</v>
      </c>
      <c r="J48">
        <v>1465</v>
      </c>
      <c r="K48">
        <v>4.47</v>
      </c>
      <c r="L48">
        <f>IF(rawdata!$A48="Strip_Mall", 1, 0)</f>
        <v>1</v>
      </c>
      <c r="M48">
        <f>IF(rawdata!$A48="Mall", 1, 0)</f>
        <v>0</v>
      </c>
      <c r="N48">
        <f>IF(rawdata!$A48="Downtown", 1, 0)</f>
        <v>0</v>
      </c>
      <c r="O48">
        <f>IF(rawdata!$B48="Asian", 1, 0)</f>
        <v>0</v>
      </c>
      <c r="P48">
        <f>IF(rawdata!$B48="American", 1, 0)</f>
        <v>1</v>
      </c>
      <c r="Q48">
        <f>IF(rawdata!$B48="Italian", 1, 0)</f>
        <v>0</v>
      </c>
      <c r="R48">
        <f>IF(rawdata!$B48="Mexican", 1, 0)</f>
        <v>0</v>
      </c>
      <c r="S48">
        <f>IF(rawdata!$C48="Small", 1, 0)</f>
        <v>0</v>
      </c>
      <c r="T48">
        <f>IF(rawdata!$C48="Medium", 1, 0)</f>
        <v>1</v>
      </c>
      <c r="U48">
        <f>IF(rawdata!$D48="Yes", 1, 0)</f>
        <v>0</v>
      </c>
      <c r="V48">
        <f>IF(rawdata!$E48="Yes", 1, 0)</f>
        <v>1</v>
      </c>
      <c r="W48">
        <v>40238</v>
      </c>
      <c r="X48">
        <f t="shared" si="0"/>
        <v>10.602567101749182</v>
      </c>
    </row>
    <row r="49" spans="1:24" x14ac:dyDescent="0.3">
      <c r="A49" t="s">
        <v>21</v>
      </c>
      <c r="B49" t="s">
        <v>22</v>
      </c>
      <c r="C49" t="s">
        <v>23</v>
      </c>
      <c r="D49" t="s">
        <v>15</v>
      </c>
      <c r="E49" t="s">
        <v>19</v>
      </c>
      <c r="F49">
        <v>97</v>
      </c>
      <c r="G49">
        <v>19.93</v>
      </c>
      <c r="H49">
        <v>6.9</v>
      </c>
      <c r="I49">
        <v>23</v>
      </c>
      <c r="J49">
        <v>7065</v>
      </c>
      <c r="K49">
        <v>4.45</v>
      </c>
      <c r="L49">
        <f>IF(rawdata!$A49="Strip_Mall", 1, 0)</f>
        <v>0</v>
      </c>
      <c r="M49">
        <f>IF(rawdata!$A49="Mall", 1, 0)</f>
        <v>1</v>
      </c>
      <c r="N49">
        <f>IF(rawdata!$A49="Downtown", 1, 0)</f>
        <v>0</v>
      </c>
      <c r="O49">
        <f>IF(rawdata!$B49="Asian", 1, 0)</f>
        <v>0</v>
      </c>
      <c r="P49">
        <f>IF(rawdata!$B49="American", 1, 0)</f>
        <v>0</v>
      </c>
      <c r="Q49">
        <f>IF(rawdata!$B49="Italian", 1, 0)</f>
        <v>0</v>
      </c>
      <c r="R49">
        <f>IF(rawdata!$B49="Mexican", 1, 0)</f>
        <v>1</v>
      </c>
      <c r="S49">
        <f>IF(rawdata!$C49="Small", 1, 0)</f>
        <v>0</v>
      </c>
      <c r="T49">
        <f>IF(rawdata!$C49="Medium", 1, 0)</f>
        <v>1</v>
      </c>
      <c r="U49">
        <f>IF(rawdata!$D49="Yes", 1, 0)</f>
        <v>1</v>
      </c>
      <c r="V49">
        <f>IF(rawdata!$E49="Yes", 1, 0)</f>
        <v>0</v>
      </c>
      <c r="W49">
        <v>77206</v>
      </c>
      <c r="X49">
        <f t="shared" si="0"/>
        <v>11.254232453200062</v>
      </c>
    </row>
    <row r="50" spans="1:24" x14ac:dyDescent="0.3">
      <c r="A50" t="s">
        <v>12</v>
      </c>
      <c r="B50" t="s">
        <v>20</v>
      </c>
      <c r="C50" t="s">
        <v>17</v>
      </c>
      <c r="D50" t="s">
        <v>19</v>
      </c>
      <c r="E50" t="s">
        <v>19</v>
      </c>
      <c r="F50">
        <v>77</v>
      </c>
      <c r="G50">
        <v>15.96</v>
      </c>
      <c r="H50">
        <v>3.6</v>
      </c>
      <c r="I50">
        <v>21</v>
      </c>
      <c r="J50">
        <v>1951</v>
      </c>
      <c r="K50">
        <v>4.58</v>
      </c>
      <c r="L50">
        <f>IF(rawdata!$A50="Strip_Mall", 1, 0)</f>
        <v>1</v>
      </c>
      <c r="M50">
        <f>IF(rawdata!$A50="Mall", 1, 0)</f>
        <v>0</v>
      </c>
      <c r="N50">
        <f>IF(rawdata!$A50="Downtown", 1, 0)</f>
        <v>0</v>
      </c>
      <c r="O50">
        <f>IF(rawdata!$B50="Asian", 1, 0)</f>
        <v>0</v>
      </c>
      <c r="P50">
        <f>IF(rawdata!$B50="American", 1, 0)</f>
        <v>0</v>
      </c>
      <c r="Q50">
        <f>IF(rawdata!$B50="Italian", 1, 0)</f>
        <v>1</v>
      </c>
      <c r="R50">
        <f>IF(rawdata!$B50="Mexican", 1, 0)</f>
        <v>0</v>
      </c>
      <c r="S50">
        <f>IF(rawdata!$C50="Small", 1, 0)</f>
        <v>1</v>
      </c>
      <c r="T50">
        <f>IF(rawdata!$C50="Medium", 1, 0)</f>
        <v>0</v>
      </c>
      <c r="U50">
        <f>IF(rawdata!$D50="Yes", 1, 0)</f>
        <v>0</v>
      </c>
      <c r="V50">
        <f>IF(rawdata!$E50="Yes", 1, 0)</f>
        <v>0</v>
      </c>
      <c r="W50">
        <v>28040</v>
      </c>
      <c r="X50">
        <f t="shared" si="0"/>
        <v>10.241387341148526</v>
      </c>
    </row>
    <row r="51" spans="1:24" x14ac:dyDescent="0.3">
      <c r="A51" t="s">
        <v>21</v>
      </c>
      <c r="B51" t="s">
        <v>16</v>
      </c>
      <c r="C51" t="s">
        <v>14</v>
      </c>
      <c r="D51" t="s">
        <v>19</v>
      </c>
      <c r="E51" t="s">
        <v>15</v>
      </c>
      <c r="F51">
        <v>34</v>
      </c>
      <c r="G51">
        <v>25.45</v>
      </c>
      <c r="H51">
        <v>2.9</v>
      </c>
      <c r="I51">
        <v>13</v>
      </c>
      <c r="J51">
        <v>903</v>
      </c>
      <c r="K51">
        <v>3.57</v>
      </c>
      <c r="L51">
        <f>IF(rawdata!$A51="Strip_Mall", 1, 0)</f>
        <v>0</v>
      </c>
      <c r="M51">
        <f>IF(rawdata!$A51="Mall", 1, 0)</f>
        <v>1</v>
      </c>
      <c r="N51">
        <f>IF(rawdata!$A51="Downtown", 1, 0)</f>
        <v>0</v>
      </c>
      <c r="O51">
        <f>IF(rawdata!$B51="Asian", 1, 0)</f>
        <v>0</v>
      </c>
      <c r="P51">
        <f>IF(rawdata!$B51="American", 1, 0)</f>
        <v>1</v>
      </c>
      <c r="Q51">
        <f>IF(rawdata!$B51="Italian", 1, 0)</f>
        <v>0</v>
      </c>
      <c r="R51">
        <f>IF(rawdata!$B51="Mexican", 1, 0)</f>
        <v>0</v>
      </c>
      <c r="S51">
        <f>IF(rawdata!$C51="Small", 1, 0)</f>
        <v>0</v>
      </c>
      <c r="T51">
        <f>IF(rawdata!$C51="Medium", 1, 0)</f>
        <v>0</v>
      </c>
      <c r="U51">
        <f>IF(rawdata!$D51="Yes", 1, 0)</f>
        <v>0</v>
      </c>
      <c r="V51">
        <f>IF(rawdata!$E51="Yes", 1, 0)</f>
        <v>1</v>
      </c>
      <c r="W51">
        <v>71524</v>
      </c>
      <c r="X51">
        <f t="shared" si="0"/>
        <v>11.177788336695093</v>
      </c>
    </row>
    <row r="52" spans="1:24" x14ac:dyDescent="0.3">
      <c r="A52" t="s">
        <v>18</v>
      </c>
      <c r="B52" t="s">
        <v>25</v>
      </c>
      <c r="C52" t="s">
        <v>23</v>
      </c>
      <c r="D52" t="s">
        <v>15</v>
      </c>
      <c r="E52" t="s">
        <v>15</v>
      </c>
      <c r="F52">
        <v>75</v>
      </c>
      <c r="G52">
        <v>28.68</v>
      </c>
      <c r="H52">
        <v>4.3</v>
      </c>
      <c r="I52">
        <v>23</v>
      </c>
      <c r="J52">
        <v>1929</v>
      </c>
      <c r="K52">
        <v>3.04</v>
      </c>
      <c r="L52">
        <f>IF(rawdata!$A52="Strip_Mall", 1, 0)</f>
        <v>0</v>
      </c>
      <c r="M52">
        <f>IF(rawdata!$A52="Mall", 1, 0)</f>
        <v>0</v>
      </c>
      <c r="N52">
        <f>IF(rawdata!$A52="Downtown", 1, 0)</f>
        <v>0</v>
      </c>
      <c r="O52">
        <f>IF(rawdata!$B52="Asian", 1, 0)</f>
        <v>0</v>
      </c>
      <c r="P52">
        <f>IF(rawdata!$B52="American", 1, 0)</f>
        <v>0</v>
      </c>
      <c r="Q52">
        <f>IF(rawdata!$B52="Italian", 1, 0)</f>
        <v>0</v>
      </c>
      <c r="R52">
        <f>IF(rawdata!$B52="Mexican", 1, 0)</f>
        <v>0</v>
      </c>
      <c r="S52">
        <f>IF(rawdata!$C52="Small", 1, 0)</f>
        <v>0</v>
      </c>
      <c r="T52">
        <f>IF(rawdata!$C52="Medium", 1, 0)</f>
        <v>1</v>
      </c>
      <c r="U52">
        <f>IF(rawdata!$D52="Yes", 1, 0)</f>
        <v>1</v>
      </c>
      <c r="V52">
        <f>IF(rawdata!$E52="Yes", 1, 0)</f>
        <v>1</v>
      </c>
      <c r="W52">
        <v>71295</v>
      </c>
      <c r="X52">
        <f t="shared" si="0"/>
        <v>11.17458147771622</v>
      </c>
    </row>
    <row r="53" spans="1:24" x14ac:dyDescent="0.3">
      <c r="A53" t="s">
        <v>18</v>
      </c>
      <c r="B53" t="s">
        <v>20</v>
      </c>
      <c r="C53" t="s">
        <v>23</v>
      </c>
      <c r="D53" t="s">
        <v>15</v>
      </c>
      <c r="E53" t="s">
        <v>15</v>
      </c>
      <c r="F53">
        <v>94</v>
      </c>
      <c r="G53">
        <v>11.05</v>
      </c>
      <c r="H53">
        <v>7</v>
      </c>
      <c r="I53">
        <v>20</v>
      </c>
      <c r="J53">
        <v>3982</v>
      </c>
      <c r="K53">
        <v>3.76</v>
      </c>
      <c r="L53">
        <f>IF(rawdata!$A53="Strip_Mall", 1, 0)</f>
        <v>0</v>
      </c>
      <c r="M53">
        <f>IF(rawdata!$A53="Mall", 1, 0)</f>
        <v>0</v>
      </c>
      <c r="N53">
        <f>IF(rawdata!$A53="Downtown", 1, 0)</f>
        <v>0</v>
      </c>
      <c r="O53">
        <f>IF(rawdata!$B53="Asian", 1, 0)</f>
        <v>0</v>
      </c>
      <c r="P53">
        <f>IF(rawdata!$B53="American", 1, 0)</f>
        <v>0</v>
      </c>
      <c r="Q53">
        <f>IF(rawdata!$B53="Italian", 1, 0)</f>
        <v>1</v>
      </c>
      <c r="R53">
        <f>IF(rawdata!$B53="Mexican", 1, 0)</f>
        <v>0</v>
      </c>
      <c r="S53">
        <f>IF(rawdata!$C53="Small", 1, 0)</f>
        <v>0</v>
      </c>
      <c r="T53">
        <f>IF(rawdata!$C53="Medium", 1, 0)</f>
        <v>1</v>
      </c>
      <c r="U53">
        <f>IF(rawdata!$D53="Yes", 1, 0)</f>
        <v>1</v>
      </c>
      <c r="V53">
        <f>IF(rawdata!$E53="Yes", 1, 0)</f>
        <v>1</v>
      </c>
      <c r="W53">
        <v>57690</v>
      </c>
      <c r="X53">
        <f t="shared" si="0"/>
        <v>10.962839127250936</v>
      </c>
    </row>
    <row r="54" spans="1:24" x14ac:dyDescent="0.3">
      <c r="A54" t="s">
        <v>24</v>
      </c>
      <c r="B54" t="s">
        <v>25</v>
      </c>
      <c r="C54" t="s">
        <v>23</v>
      </c>
      <c r="D54" t="s">
        <v>15</v>
      </c>
      <c r="E54" t="s">
        <v>19</v>
      </c>
      <c r="F54">
        <v>76</v>
      </c>
      <c r="G54">
        <v>18.440000000000001</v>
      </c>
      <c r="H54">
        <v>3.9</v>
      </c>
      <c r="I54">
        <v>20</v>
      </c>
      <c r="J54">
        <v>663</v>
      </c>
      <c r="K54">
        <v>4.9000000000000004</v>
      </c>
      <c r="L54">
        <f>IF(rawdata!$A54="Strip_Mall", 1, 0)</f>
        <v>0</v>
      </c>
      <c r="M54">
        <f>IF(rawdata!$A54="Mall", 1, 0)</f>
        <v>0</v>
      </c>
      <c r="N54">
        <f>IF(rawdata!$A54="Downtown", 1, 0)</f>
        <v>1</v>
      </c>
      <c r="O54">
        <f>IF(rawdata!$B54="Asian", 1, 0)</f>
        <v>0</v>
      </c>
      <c r="P54">
        <f>IF(rawdata!$B54="American", 1, 0)</f>
        <v>0</v>
      </c>
      <c r="Q54">
        <f>IF(rawdata!$B54="Italian", 1, 0)</f>
        <v>0</v>
      </c>
      <c r="R54">
        <f>IF(rawdata!$B54="Mexican", 1, 0)</f>
        <v>0</v>
      </c>
      <c r="S54">
        <f>IF(rawdata!$C54="Small", 1, 0)</f>
        <v>0</v>
      </c>
      <c r="T54">
        <f>IF(rawdata!$C54="Medium", 1, 0)</f>
        <v>1</v>
      </c>
      <c r="U54">
        <f>IF(rawdata!$D54="Yes", 1, 0)</f>
        <v>1</v>
      </c>
      <c r="V54">
        <f>IF(rawdata!$E54="Yes", 1, 0)</f>
        <v>0</v>
      </c>
      <c r="W54">
        <v>110768</v>
      </c>
      <c r="X54">
        <f t="shared" si="0"/>
        <v>11.615193202917807</v>
      </c>
    </row>
    <row r="55" spans="1:24" x14ac:dyDescent="0.3">
      <c r="A55" t="s">
        <v>21</v>
      </c>
      <c r="B55" t="s">
        <v>20</v>
      </c>
      <c r="C55" t="s">
        <v>17</v>
      </c>
      <c r="D55" t="s">
        <v>15</v>
      </c>
      <c r="E55" t="s">
        <v>19</v>
      </c>
      <c r="F55">
        <v>93</v>
      </c>
      <c r="G55">
        <v>18.39</v>
      </c>
      <c r="H55">
        <v>0.5</v>
      </c>
      <c r="I55">
        <v>23</v>
      </c>
      <c r="J55">
        <v>11078</v>
      </c>
      <c r="K55">
        <v>4.6399999999999997</v>
      </c>
      <c r="L55">
        <f>IF(rawdata!$A55="Strip_Mall", 1, 0)</f>
        <v>0</v>
      </c>
      <c r="M55">
        <f>IF(rawdata!$A55="Mall", 1, 0)</f>
        <v>1</v>
      </c>
      <c r="N55">
        <f>IF(rawdata!$A55="Downtown", 1, 0)</f>
        <v>0</v>
      </c>
      <c r="O55">
        <f>IF(rawdata!$B55="Asian", 1, 0)</f>
        <v>0</v>
      </c>
      <c r="P55">
        <f>IF(rawdata!$B55="American", 1, 0)</f>
        <v>0</v>
      </c>
      <c r="Q55">
        <f>IF(rawdata!$B55="Italian", 1, 0)</f>
        <v>1</v>
      </c>
      <c r="R55">
        <f>IF(rawdata!$B55="Mexican", 1, 0)</f>
        <v>0</v>
      </c>
      <c r="S55">
        <f>IF(rawdata!$C55="Small", 1, 0)</f>
        <v>1</v>
      </c>
      <c r="T55">
        <f>IF(rawdata!$C55="Medium", 1, 0)</f>
        <v>0</v>
      </c>
      <c r="U55">
        <f>IF(rawdata!$D55="Yes", 1, 0)</f>
        <v>1</v>
      </c>
      <c r="V55">
        <f>IF(rawdata!$E55="Yes", 1, 0)</f>
        <v>0</v>
      </c>
      <c r="W55">
        <v>76550</v>
      </c>
      <c r="X55">
        <f t="shared" si="0"/>
        <v>11.24569940108583</v>
      </c>
    </row>
    <row r="56" spans="1:24" x14ac:dyDescent="0.3">
      <c r="A56" t="s">
        <v>18</v>
      </c>
      <c r="B56" t="s">
        <v>25</v>
      </c>
      <c r="C56" t="s">
        <v>23</v>
      </c>
      <c r="D56" t="s">
        <v>19</v>
      </c>
      <c r="E56" t="s">
        <v>15</v>
      </c>
      <c r="F56">
        <v>71</v>
      </c>
      <c r="G56">
        <v>13.37</v>
      </c>
      <c r="H56">
        <v>3.2</v>
      </c>
      <c r="I56">
        <v>17</v>
      </c>
      <c r="J56">
        <v>2664</v>
      </c>
      <c r="K56">
        <v>2.96</v>
      </c>
      <c r="L56">
        <f>IF(rawdata!$A56="Strip_Mall", 1, 0)</f>
        <v>0</v>
      </c>
      <c r="M56">
        <f>IF(rawdata!$A56="Mall", 1, 0)</f>
        <v>0</v>
      </c>
      <c r="N56">
        <f>IF(rawdata!$A56="Downtown", 1, 0)</f>
        <v>0</v>
      </c>
      <c r="O56">
        <f>IF(rawdata!$B56="Asian", 1, 0)</f>
        <v>0</v>
      </c>
      <c r="P56">
        <f>IF(rawdata!$B56="American", 1, 0)</f>
        <v>0</v>
      </c>
      <c r="Q56">
        <f>IF(rawdata!$B56="Italian", 1, 0)</f>
        <v>0</v>
      </c>
      <c r="R56">
        <f>IF(rawdata!$B56="Mexican", 1, 0)</f>
        <v>0</v>
      </c>
      <c r="S56">
        <f>IF(rawdata!$C56="Small", 1, 0)</f>
        <v>0</v>
      </c>
      <c r="T56">
        <f>IF(rawdata!$C56="Medium", 1, 0)</f>
        <v>1</v>
      </c>
      <c r="U56">
        <f>IF(rawdata!$D56="Yes", 1, 0)</f>
        <v>0</v>
      </c>
      <c r="V56">
        <f>IF(rawdata!$E56="Yes", 1, 0)</f>
        <v>1</v>
      </c>
      <c r="W56">
        <v>39603</v>
      </c>
      <c r="X56">
        <f t="shared" si="0"/>
        <v>10.58666015194887</v>
      </c>
    </row>
    <row r="57" spans="1:24" x14ac:dyDescent="0.3">
      <c r="A57" t="s">
        <v>21</v>
      </c>
      <c r="B57" t="s">
        <v>25</v>
      </c>
      <c r="C57" t="s">
        <v>17</v>
      </c>
      <c r="D57" t="s">
        <v>15</v>
      </c>
      <c r="E57" t="s">
        <v>15</v>
      </c>
      <c r="F57">
        <v>74</v>
      </c>
      <c r="G57">
        <v>10.01</v>
      </c>
      <c r="H57">
        <v>0.5</v>
      </c>
      <c r="I57">
        <v>22</v>
      </c>
      <c r="J57">
        <v>5048</v>
      </c>
      <c r="K57">
        <v>4.4800000000000004</v>
      </c>
      <c r="L57">
        <f>IF(rawdata!$A57="Strip_Mall", 1, 0)</f>
        <v>0</v>
      </c>
      <c r="M57">
        <f>IF(rawdata!$A57="Mall", 1, 0)</f>
        <v>1</v>
      </c>
      <c r="N57">
        <f>IF(rawdata!$A57="Downtown", 1, 0)</f>
        <v>0</v>
      </c>
      <c r="O57">
        <f>IF(rawdata!$B57="Asian", 1, 0)</f>
        <v>0</v>
      </c>
      <c r="P57">
        <f>IF(rawdata!$B57="American", 1, 0)</f>
        <v>0</v>
      </c>
      <c r="Q57">
        <f>IF(rawdata!$B57="Italian", 1, 0)</f>
        <v>0</v>
      </c>
      <c r="R57">
        <f>IF(rawdata!$B57="Mexican", 1, 0)</f>
        <v>0</v>
      </c>
      <c r="S57">
        <f>IF(rawdata!$C57="Small", 1, 0)</f>
        <v>1</v>
      </c>
      <c r="T57">
        <f>IF(rawdata!$C57="Medium", 1, 0)</f>
        <v>0</v>
      </c>
      <c r="U57">
        <f>IF(rawdata!$D57="Yes", 1, 0)</f>
        <v>1</v>
      </c>
      <c r="V57">
        <f>IF(rawdata!$E57="Yes", 1, 0)</f>
        <v>1</v>
      </c>
      <c r="W57">
        <v>78015</v>
      </c>
      <c r="X57">
        <f t="shared" si="0"/>
        <v>11.264656394875283</v>
      </c>
    </row>
    <row r="58" spans="1:24" x14ac:dyDescent="0.3">
      <c r="A58" t="s">
        <v>21</v>
      </c>
      <c r="B58" t="s">
        <v>16</v>
      </c>
      <c r="C58" t="s">
        <v>23</v>
      </c>
      <c r="D58" t="s">
        <v>15</v>
      </c>
      <c r="E58" t="s">
        <v>15</v>
      </c>
      <c r="F58">
        <v>87</v>
      </c>
      <c r="G58">
        <v>17.98</v>
      </c>
      <c r="H58">
        <v>0.5</v>
      </c>
      <c r="I58">
        <v>19</v>
      </c>
      <c r="J58">
        <v>15000</v>
      </c>
      <c r="K58">
        <v>4.92</v>
      </c>
      <c r="L58">
        <f>IF(rawdata!$A58="Strip_Mall", 1, 0)</f>
        <v>0</v>
      </c>
      <c r="M58">
        <f>IF(rawdata!$A58="Mall", 1, 0)</f>
        <v>1</v>
      </c>
      <c r="N58">
        <f>IF(rawdata!$A58="Downtown", 1, 0)</f>
        <v>0</v>
      </c>
      <c r="O58">
        <f>IF(rawdata!$B58="Asian", 1, 0)</f>
        <v>0</v>
      </c>
      <c r="P58">
        <f>IF(rawdata!$B58="American", 1, 0)</f>
        <v>1</v>
      </c>
      <c r="Q58">
        <f>IF(rawdata!$B58="Italian", 1, 0)</f>
        <v>0</v>
      </c>
      <c r="R58">
        <f>IF(rawdata!$B58="Mexican", 1, 0)</f>
        <v>0</v>
      </c>
      <c r="S58">
        <f>IF(rawdata!$C58="Small", 1, 0)</f>
        <v>0</v>
      </c>
      <c r="T58">
        <f>IF(rawdata!$C58="Medium", 1, 0)</f>
        <v>1</v>
      </c>
      <c r="U58">
        <f>IF(rawdata!$D58="Yes", 1, 0)</f>
        <v>1</v>
      </c>
      <c r="V58">
        <f>IF(rawdata!$E58="Yes", 1, 0)</f>
        <v>1</v>
      </c>
      <c r="W58">
        <v>109699</v>
      </c>
      <c r="X58">
        <f t="shared" si="0"/>
        <v>11.60549553045149</v>
      </c>
    </row>
    <row r="59" spans="1:24" x14ac:dyDescent="0.3">
      <c r="A59" t="s">
        <v>18</v>
      </c>
      <c r="B59" t="s">
        <v>16</v>
      </c>
      <c r="C59" t="s">
        <v>17</v>
      </c>
      <c r="D59" t="s">
        <v>19</v>
      </c>
      <c r="E59" t="s">
        <v>19</v>
      </c>
      <c r="F59">
        <v>100</v>
      </c>
      <c r="G59">
        <v>23.24</v>
      </c>
      <c r="H59">
        <v>13.9</v>
      </c>
      <c r="I59">
        <v>29</v>
      </c>
      <c r="J59">
        <v>1946</v>
      </c>
      <c r="K59">
        <v>3.78</v>
      </c>
      <c r="L59">
        <f>IF(rawdata!$A59="Strip_Mall", 1, 0)</f>
        <v>0</v>
      </c>
      <c r="M59">
        <f>IF(rawdata!$A59="Mall", 1, 0)</f>
        <v>0</v>
      </c>
      <c r="N59">
        <f>IF(rawdata!$A59="Downtown", 1, 0)</f>
        <v>0</v>
      </c>
      <c r="O59">
        <f>IF(rawdata!$B59="Asian", 1, 0)</f>
        <v>0</v>
      </c>
      <c r="P59">
        <f>IF(rawdata!$B59="American", 1, 0)</f>
        <v>1</v>
      </c>
      <c r="Q59">
        <f>IF(rawdata!$B59="Italian", 1, 0)</f>
        <v>0</v>
      </c>
      <c r="R59">
        <f>IF(rawdata!$B59="Mexican", 1, 0)</f>
        <v>0</v>
      </c>
      <c r="S59">
        <f>IF(rawdata!$C59="Small", 1, 0)</f>
        <v>1</v>
      </c>
      <c r="T59">
        <f>IF(rawdata!$C59="Medium", 1, 0)</f>
        <v>0</v>
      </c>
      <c r="U59">
        <f>IF(rawdata!$D59="Yes", 1, 0)</f>
        <v>0</v>
      </c>
      <c r="V59">
        <f>IF(rawdata!$E59="Yes", 1, 0)</f>
        <v>0</v>
      </c>
      <c r="W59">
        <v>51823</v>
      </c>
      <c r="X59">
        <f t="shared" si="0"/>
        <v>10.855589345145901</v>
      </c>
    </row>
    <row r="60" spans="1:24" x14ac:dyDescent="0.3">
      <c r="A60" t="s">
        <v>18</v>
      </c>
      <c r="B60" t="s">
        <v>16</v>
      </c>
      <c r="C60" t="s">
        <v>17</v>
      </c>
      <c r="D60" t="s">
        <v>15</v>
      </c>
      <c r="E60" t="s">
        <v>19</v>
      </c>
      <c r="F60">
        <v>44</v>
      </c>
      <c r="G60">
        <v>29.81</v>
      </c>
      <c r="H60">
        <v>0.5</v>
      </c>
      <c r="I60">
        <v>14</v>
      </c>
      <c r="J60">
        <v>4730</v>
      </c>
      <c r="K60">
        <v>4.3600000000000003</v>
      </c>
      <c r="L60">
        <f>IF(rawdata!$A60="Strip_Mall", 1, 0)</f>
        <v>0</v>
      </c>
      <c r="M60">
        <f>IF(rawdata!$A60="Mall", 1, 0)</f>
        <v>0</v>
      </c>
      <c r="N60">
        <f>IF(rawdata!$A60="Downtown", 1, 0)</f>
        <v>0</v>
      </c>
      <c r="O60">
        <f>IF(rawdata!$B60="Asian", 1, 0)</f>
        <v>0</v>
      </c>
      <c r="P60">
        <f>IF(rawdata!$B60="American", 1, 0)</f>
        <v>1</v>
      </c>
      <c r="Q60">
        <f>IF(rawdata!$B60="Italian", 1, 0)</f>
        <v>0</v>
      </c>
      <c r="R60">
        <f>IF(rawdata!$B60="Mexican", 1, 0)</f>
        <v>0</v>
      </c>
      <c r="S60">
        <f>IF(rawdata!$C60="Small", 1, 0)</f>
        <v>1</v>
      </c>
      <c r="T60">
        <f>IF(rawdata!$C60="Medium", 1, 0)</f>
        <v>0</v>
      </c>
      <c r="U60">
        <f>IF(rawdata!$D60="Yes", 1, 0)</f>
        <v>1</v>
      </c>
      <c r="V60">
        <f>IF(rawdata!$E60="Yes", 1, 0)</f>
        <v>0</v>
      </c>
      <c r="W60">
        <v>36385</v>
      </c>
      <c r="X60">
        <f t="shared" si="0"/>
        <v>10.501911880781186</v>
      </c>
    </row>
    <row r="61" spans="1:24" x14ac:dyDescent="0.3">
      <c r="A61" t="s">
        <v>24</v>
      </c>
      <c r="B61" t="s">
        <v>25</v>
      </c>
      <c r="C61" t="s">
        <v>17</v>
      </c>
      <c r="D61" t="s">
        <v>15</v>
      </c>
      <c r="E61" t="s">
        <v>19</v>
      </c>
      <c r="F61">
        <v>74</v>
      </c>
      <c r="G61">
        <v>8</v>
      </c>
      <c r="H61">
        <v>0.5</v>
      </c>
      <c r="I61">
        <v>21</v>
      </c>
      <c r="J61">
        <v>14087</v>
      </c>
      <c r="K61">
        <v>3.86</v>
      </c>
      <c r="L61">
        <f>IF(rawdata!$A61="Strip_Mall", 1, 0)</f>
        <v>0</v>
      </c>
      <c r="M61">
        <f>IF(rawdata!$A61="Mall", 1, 0)</f>
        <v>0</v>
      </c>
      <c r="N61">
        <f>IF(rawdata!$A61="Downtown", 1, 0)</f>
        <v>1</v>
      </c>
      <c r="O61">
        <f>IF(rawdata!$B61="Asian", 1, 0)</f>
        <v>0</v>
      </c>
      <c r="P61">
        <f>IF(rawdata!$B61="American", 1, 0)</f>
        <v>0</v>
      </c>
      <c r="Q61">
        <f>IF(rawdata!$B61="Italian", 1, 0)</f>
        <v>0</v>
      </c>
      <c r="R61">
        <f>IF(rawdata!$B61="Mexican", 1, 0)</f>
        <v>0</v>
      </c>
      <c r="S61">
        <f>IF(rawdata!$C61="Small", 1, 0)</f>
        <v>1</v>
      </c>
      <c r="T61">
        <f>IF(rawdata!$C61="Medium", 1, 0)</f>
        <v>0</v>
      </c>
      <c r="U61">
        <f>IF(rawdata!$D61="Yes", 1, 0)</f>
        <v>1</v>
      </c>
      <c r="V61">
        <f>IF(rawdata!$E61="Yes", 1, 0)</f>
        <v>0</v>
      </c>
      <c r="W61">
        <v>62925</v>
      </c>
      <c r="X61">
        <f t="shared" si="0"/>
        <v>11.049698820003517</v>
      </c>
    </row>
    <row r="62" spans="1:24" x14ac:dyDescent="0.3">
      <c r="A62" t="s">
        <v>21</v>
      </c>
      <c r="B62" t="s">
        <v>22</v>
      </c>
      <c r="C62" t="s">
        <v>17</v>
      </c>
      <c r="D62" t="s">
        <v>15</v>
      </c>
      <c r="E62" t="s">
        <v>15</v>
      </c>
      <c r="F62">
        <v>73</v>
      </c>
      <c r="G62">
        <v>12.38</v>
      </c>
      <c r="H62">
        <v>3.5</v>
      </c>
      <c r="I62">
        <v>19</v>
      </c>
      <c r="J62">
        <v>7734</v>
      </c>
      <c r="K62">
        <v>4.83</v>
      </c>
      <c r="L62">
        <f>IF(rawdata!$A62="Strip_Mall", 1, 0)</f>
        <v>0</v>
      </c>
      <c r="M62">
        <f>IF(rawdata!$A62="Mall", 1, 0)</f>
        <v>1</v>
      </c>
      <c r="N62">
        <f>IF(rawdata!$A62="Downtown", 1, 0)</f>
        <v>0</v>
      </c>
      <c r="O62">
        <f>IF(rawdata!$B62="Asian", 1, 0)</f>
        <v>0</v>
      </c>
      <c r="P62">
        <f>IF(rawdata!$B62="American", 1, 0)</f>
        <v>0</v>
      </c>
      <c r="Q62">
        <f>IF(rawdata!$B62="Italian", 1, 0)</f>
        <v>0</v>
      </c>
      <c r="R62">
        <f>IF(rawdata!$B62="Mexican", 1, 0)</f>
        <v>1</v>
      </c>
      <c r="S62">
        <f>IF(rawdata!$C62="Small", 1, 0)</f>
        <v>1</v>
      </c>
      <c r="T62">
        <f>IF(rawdata!$C62="Medium", 1, 0)</f>
        <v>0</v>
      </c>
      <c r="U62">
        <f>IF(rawdata!$D62="Yes", 1, 0)</f>
        <v>1</v>
      </c>
      <c r="V62">
        <f>IF(rawdata!$E62="Yes", 1, 0)</f>
        <v>1</v>
      </c>
      <c r="W62">
        <v>53592</v>
      </c>
      <c r="X62">
        <f t="shared" si="0"/>
        <v>10.889155082188104</v>
      </c>
    </row>
    <row r="63" spans="1:24" x14ac:dyDescent="0.3">
      <c r="A63" t="s">
        <v>12</v>
      </c>
      <c r="B63" t="s">
        <v>13</v>
      </c>
      <c r="C63" t="s">
        <v>23</v>
      </c>
      <c r="D63" t="s">
        <v>15</v>
      </c>
      <c r="E63" t="s">
        <v>15</v>
      </c>
      <c r="F63">
        <v>56</v>
      </c>
      <c r="G63">
        <v>15.51</v>
      </c>
      <c r="H63">
        <v>3.1</v>
      </c>
      <c r="I63">
        <v>19</v>
      </c>
      <c r="J63">
        <v>3687</v>
      </c>
      <c r="K63">
        <v>4.42</v>
      </c>
      <c r="L63">
        <f>IF(rawdata!$A63="Strip_Mall", 1, 0)</f>
        <v>1</v>
      </c>
      <c r="M63">
        <f>IF(rawdata!$A63="Mall", 1, 0)</f>
        <v>0</v>
      </c>
      <c r="N63">
        <f>IF(rawdata!$A63="Downtown", 1, 0)</f>
        <v>0</v>
      </c>
      <c r="O63">
        <f>IF(rawdata!$B63="Asian", 1, 0)</f>
        <v>1</v>
      </c>
      <c r="P63">
        <f>IF(rawdata!$B63="American", 1, 0)</f>
        <v>0</v>
      </c>
      <c r="Q63">
        <f>IF(rawdata!$B63="Italian", 1, 0)</f>
        <v>0</v>
      </c>
      <c r="R63">
        <f>IF(rawdata!$B63="Mexican", 1, 0)</f>
        <v>0</v>
      </c>
      <c r="S63">
        <f>IF(rawdata!$C63="Small", 1, 0)</f>
        <v>0</v>
      </c>
      <c r="T63">
        <f>IF(rawdata!$C63="Medium", 1, 0)</f>
        <v>1</v>
      </c>
      <c r="U63">
        <f>IF(rawdata!$D63="Yes", 1, 0)</f>
        <v>1</v>
      </c>
      <c r="V63">
        <f>IF(rawdata!$E63="Yes", 1, 0)</f>
        <v>1</v>
      </c>
      <c r="W63">
        <v>48417</v>
      </c>
      <c r="X63">
        <f t="shared" si="0"/>
        <v>10.787606270703932</v>
      </c>
    </row>
    <row r="64" spans="1:24" x14ac:dyDescent="0.3">
      <c r="A64" t="s">
        <v>21</v>
      </c>
      <c r="B64" t="s">
        <v>13</v>
      </c>
      <c r="C64" t="s">
        <v>23</v>
      </c>
      <c r="D64" t="s">
        <v>15</v>
      </c>
      <c r="E64" t="s">
        <v>19</v>
      </c>
      <c r="F64">
        <v>49</v>
      </c>
      <c r="G64">
        <v>8</v>
      </c>
      <c r="H64">
        <v>6.9</v>
      </c>
      <c r="I64">
        <v>16</v>
      </c>
      <c r="J64">
        <v>9917</v>
      </c>
      <c r="K64">
        <v>3.99</v>
      </c>
      <c r="L64">
        <f>IF(rawdata!$A64="Strip_Mall", 1, 0)</f>
        <v>0</v>
      </c>
      <c r="M64">
        <f>IF(rawdata!$A64="Mall", 1, 0)</f>
        <v>1</v>
      </c>
      <c r="N64">
        <f>IF(rawdata!$A64="Downtown", 1, 0)</f>
        <v>0</v>
      </c>
      <c r="O64">
        <f>IF(rawdata!$B64="Asian", 1, 0)</f>
        <v>1</v>
      </c>
      <c r="P64">
        <f>IF(rawdata!$B64="American", 1, 0)</f>
        <v>0</v>
      </c>
      <c r="Q64">
        <f>IF(rawdata!$B64="Italian", 1, 0)</f>
        <v>0</v>
      </c>
      <c r="R64">
        <f>IF(rawdata!$B64="Mexican", 1, 0)</f>
        <v>0</v>
      </c>
      <c r="S64">
        <f>IF(rawdata!$C64="Small", 1, 0)</f>
        <v>0</v>
      </c>
      <c r="T64">
        <f>IF(rawdata!$C64="Medium", 1, 0)</f>
        <v>1</v>
      </c>
      <c r="U64">
        <f>IF(rawdata!$D64="Yes", 1, 0)</f>
        <v>1</v>
      </c>
      <c r="V64">
        <f>IF(rawdata!$E64="Yes", 1, 0)</f>
        <v>0</v>
      </c>
      <c r="W64">
        <v>67767</v>
      </c>
      <c r="X64">
        <f t="shared" si="0"/>
        <v>11.123830629775386</v>
      </c>
    </row>
    <row r="65" spans="1:24" x14ac:dyDescent="0.3">
      <c r="A65" t="s">
        <v>24</v>
      </c>
      <c r="B65" t="s">
        <v>16</v>
      </c>
      <c r="C65" t="s">
        <v>14</v>
      </c>
      <c r="D65" t="s">
        <v>19</v>
      </c>
      <c r="E65" t="s">
        <v>15</v>
      </c>
      <c r="F65">
        <v>59</v>
      </c>
      <c r="G65">
        <v>12</v>
      </c>
      <c r="H65">
        <v>0.6</v>
      </c>
      <c r="I65">
        <v>15</v>
      </c>
      <c r="J65">
        <v>2022</v>
      </c>
      <c r="K65">
        <v>4.6399999999999997</v>
      </c>
      <c r="L65">
        <f>IF(rawdata!$A65="Strip_Mall", 1, 0)</f>
        <v>0</v>
      </c>
      <c r="M65">
        <f>IF(rawdata!$A65="Mall", 1, 0)</f>
        <v>0</v>
      </c>
      <c r="N65">
        <f>IF(rawdata!$A65="Downtown", 1, 0)</f>
        <v>1</v>
      </c>
      <c r="O65">
        <f>IF(rawdata!$B65="Asian", 1, 0)</f>
        <v>0</v>
      </c>
      <c r="P65">
        <f>IF(rawdata!$B65="American", 1, 0)</f>
        <v>1</v>
      </c>
      <c r="Q65">
        <f>IF(rawdata!$B65="Italian", 1, 0)</f>
        <v>0</v>
      </c>
      <c r="R65">
        <f>IF(rawdata!$B65="Mexican", 1, 0)</f>
        <v>0</v>
      </c>
      <c r="S65">
        <f>IF(rawdata!$C65="Small", 1, 0)</f>
        <v>0</v>
      </c>
      <c r="T65">
        <f>IF(rawdata!$C65="Medium", 1, 0)</f>
        <v>0</v>
      </c>
      <c r="U65">
        <f>IF(rawdata!$D65="Yes", 1, 0)</f>
        <v>0</v>
      </c>
      <c r="V65">
        <f>IF(rawdata!$E65="Yes", 1, 0)</f>
        <v>1</v>
      </c>
      <c r="W65">
        <v>85969</v>
      </c>
      <c r="X65">
        <f t="shared" si="0"/>
        <v>11.361742045136198</v>
      </c>
    </row>
    <row r="66" spans="1:24" x14ac:dyDescent="0.3">
      <c r="A66" t="s">
        <v>12</v>
      </c>
      <c r="B66" t="s">
        <v>13</v>
      </c>
      <c r="C66" t="s">
        <v>17</v>
      </c>
      <c r="D66" t="s">
        <v>15</v>
      </c>
      <c r="E66" t="s">
        <v>15</v>
      </c>
      <c r="F66">
        <v>90</v>
      </c>
      <c r="G66">
        <v>11.78</v>
      </c>
      <c r="H66">
        <v>8</v>
      </c>
      <c r="I66">
        <v>22</v>
      </c>
      <c r="J66">
        <v>1829</v>
      </c>
      <c r="K66">
        <v>4.6500000000000004</v>
      </c>
      <c r="L66">
        <f>IF(rawdata!$A66="Strip_Mall", 1, 0)</f>
        <v>1</v>
      </c>
      <c r="M66">
        <f>IF(rawdata!$A66="Mall", 1, 0)</f>
        <v>0</v>
      </c>
      <c r="N66">
        <f>IF(rawdata!$A66="Downtown", 1, 0)</f>
        <v>0</v>
      </c>
      <c r="O66">
        <f>IF(rawdata!$B66="Asian", 1, 0)</f>
        <v>1</v>
      </c>
      <c r="P66">
        <f>IF(rawdata!$B66="American", 1, 0)</f>
        <v>0</v>
      </c>
      <c r="Q66">
        <f>IF(rawdata!$B66="Italian", 1, 0)</f>
        <v>0</v>
      </c>
      <c r="R66">
        <f>IF(rawdata!$B66="Mexican", 1, 0)</f>
        <v>0</v>
      </c>
      <c r="S66">
        <f>IF(rawdata!$C66="Small", 1, 0)</f>
        <v>1</v>
      </c>
      <c r="T66">
        <f>IF(rawdata!$C66="Medium", 1, 0)</f>
        <v>0</v>
      </c>
      <c r="U66">
        <f>IF(rawdata!$D66="Yes", 1, 0)</f>
        <v>1</v>
      </c>
      <c r="V66">
        <f>IF(rawdata!$E66="Yes", 1, 0)</f>
        <v>1</v>
      </c>
      <c r="W66">
        <v>50064</v>
      </c>
      <c r="X66">
        <f t="shared" si="0"/>
        <v>10.821057465908664</v>
      </c>
    </row>
    <row r="67" spans="1:24" x14ac:dyDescent="0.3">
      <c r="A67" t="s">
        <v>18</v>
      </c>
      <c r="B67" t="s">
        <v>16</v>
      </c>
      <c r="C67" t="s">
        <v>23</v>
      </c>
      <c r="D67" t="s">
        <v>15</v>
      </c>
      <c r="E67" t="s">
        <v>19</v>
      </c>
      <c r="F67">
        <v>65</v>
      </c>
      <c r="G67">
        <v>12.22</v>
      </c>
      <c r="H67">
        <v>9.6999999999999993</v>
      </c>
      <c r="I67">
        <v>16</v>
      </c>
      <c r="J67">
        <v>2845</v>
      </c>
      <c r="K67">
        <v>4.58</v>
      </c>
      <c r="L67">
        <f>IF(rawdata!$A67="Strip_Mall", 1, 0)</f>
        <v>0</v>
      </c>
      <c r="M67">
        <f>IF(rawdata!$A67="Mall", 1, 0)</f>
        <v>0</v>
      </c>
      <c r="N67">
        <f>IF(rawdata!$A67="Downtown", 1, 0)</f>
        <v>0</v>
      </c>
      <c r="O67">
        <f>IF(rawdata!$B67="Asian", 1, 0)</f>
        <v>0</v>
      </c>
      <c r="P67">
        <f>IF(rawdata!$B67="American", 1, 0)</f>
        <v>1</v>
      </c>
      <c r="Q67">
        <f>IF(rawdata!$B67="Italian", 1, 0)</f>
        <v>0</v>
      </c>
      <c r="R67">
        <f>IF(rawdata!$B67="Mexican", 1, 0)</f>
        <v>0</v>
      </c>
      <c r="S67">
        <f>IF(rawdata!$C67="Small", 1, 0)</f>
        <v>0</v>
      </c>
      <c r="T67">
        <f>IF(rawdata!$C67="Medium", 1, 0)</f>
        <v>1</v>
      </c>
      <c r="U67">
        <f>IF(rawdata!$D67="Yes", 1, 0)</f>
        <v>1</v>
      </c>
      <c r="V67">
        <f>IF(rawdata!$E67="Yes", 1, 0)</f>
        <v>0</v>
      </c>
      <c r="W67">
        <v>54041</v>
      </c>
      <c r="X67">
        <f t="shared" ref="X67:X101" si="1">LN(W67)</f>
        <v>10.897498296714174</v>
      </c>
    </row>
    <row r="68" spans="1:24" x14ac:dyDescent="0.3">
      <c r="A68" t="s">
        <v>18</v>
      </c>
      <c r="B68" t="s">
        <v>13</v>
      </c>
      <c r="C68" t="s">
        <v>14</v>
      </c>
      <c r="D68" t="s">
        <v>15</v>
      </c>
      <c r="E68" t="s">
        <v>15</v>
      </c>
      <c r="F68">
        <v>55</v>
      </c>
      <c r="G68">
        <v>8</v>
      </c>
      <c r="H68">
        <v>8.6</v>
      </c>
      <c r="I68">
        <v>17</v>
      </c>
      <c r="J68">
        <v>3158</v>
      </c>
      <c r="K68">
        <v>4.97</v>
      </c>
      <c r="L68">
        <f>IF(rawdata!$A68="Strip_Mall", 1, 0)</f>
        <v>0</v>
      </c>
      <c r="M68">
        <f>IF(rawdata!$A68="Mall", 1, 0)</f>
        <v>0</v>
      </c>
      <c r="N68">
        <f>IF(rawdata!$A68="Downtown", 1, 0)</f>
        <v>0</v>
      </c>
      <c r="O68">
        <f>IF(rawdata!$B68="Asian", 1, 0)</f>
        <v>1</v>
      </c>
      <c r="P68">
        <f>IF(rawdata!$B68="American", 1, 0)</f>
        <v>0</v>
      </c>
      <c r="Q68">
        <f>IF(rawdata!$B68="Italian", 1, 0)</f>
        <v>0</v>
      </c>
      <c r="R68">
        <f>IF(rawdata!$B68="Mexican", 1, 0)</f>
        <v>0</v>
      </c>
      <c r="S68">
        <f>IF(rawdata!$C68="Small", 1, 0)</f>
        <v>0</v>
      </c>
      <c r="T68">
        <f>IF(rawdata!$C68="Medium", 1, 0)</f>
        <v>0</v>
      </c>
      <c r="U68">
        <f>IF(rawdata!$D68="Yes", 1, 0)</f>
        <v>1</v>
      </c>
      <c r="V68">
        <f>IF(rawdata!$E68="Yes", 1, 0)</f>
        <v>1</v>
      </c>
      <c r="W68">
        <v>111556</v>
      </c>
      <c r="X68">
        <f t="shared" si="1"/>
        <v>11.622281985953402</v>
      </c>
    </row>
    <row r="69" spans="1:24" x14ac:dyDescent="0.3">
      <c r="A69" t="s">
        <v>12</v>
      </c>
      <c r="B69" t="s">
        <v>20</v>
      </c>
      <c r="C69" t="s">
        <v>23</v>
      </c>
      <c r="D69" t="s">
        <v>19</v>
      </c>
      <c r="E69" t="s">
        <v>15</v>
      </c>
      <c r="F69">
        <v>79</v>
      </c>
      <c r="G69">
        <v>19.71</v>
      </c>
      <c r="H69">
        <v>3.4</v>
      </c>
      <c r="I69">
        <v>19</v>
      </c>
      <c r="J69">
        <v>9150</v>
      </c>
      <c r="K69">
        <v>3.46</v>
      </c>
      <c r="L69">
        <f>IF(rawdata!$A69="Strip_Mall", 1, 0)</f>
        <v>1</v>
      </c>
      <c r="M69">
        <f>IF(rawdata!$A69="Mall", 1, 0)</f>
        <v>0</v>
      </c>
      <c r="N69">
        <f>IF(rawdata!$A69="Downtown", 1, 0)</f>
        <v>0</v>
      </c>
      <c r="O69">
        <f>IF(rawdata!$B69="Asian", 1, 0)</f>
        <v>0</v>
      </c>
      <c r="P69">
        <f>IF(rawdata!$B69="American", 1, 0)</f>
        <v>0</v>
      </c>
      <c r="Q69">
        <f>IF(rawdata!$B69="Italian", 1, 0)</f>
        <v>1</v>
      </c>
      <c r="R69">
        <f>IF(rawdata!$B69="Mexican", 1, 0)</f>
        <v>0</v>
      </c>
      <c r="S69">
        <f>IF(rawdata!$C69="Small", 1, 0)</f>
        <v>0</v>
      </c>
      <c r="T69">
        <f>IF(rawdata!$C69="Medium", 1, 0)</f>
        <v>1</v>
      </c>
      <c r="U69">
        <f>IF(rawdata!$D69="Yes", 1, 0)</f>
        <v>0</v>
      </c>
      <c r="V69">
        <f>IF(rawdata!$E69="Yes", 1, 0)</f>
        <v>1</v>
      </c>
      <c r="W69">
        <v>60696</v>
      </c>
      <c r="X69">
        <f t="shared" si="1"/>
        <v>11.013633077017911</v>
      </c>
    </row>
    <row r="70" spans="1:24" x14ac:dyDescent="0.3">
      <c r="A70" t="s">
        <v>21</v>
      </c>
      <c r="B70" t="s">
        <v>16</v>
      </c>
      <c r="C70" t="s">
        <v>14</v>
      </c>
      <c r="D70" t="s">
        <v>15</v>
      </c>
      <c r="E70" t="s">
        <v>15</v>
      </c>
      <c r="F70">
        <v>44</v>
      </c>
      <c r="G70">
        <v>12.94</v>
      </c>
      <c r="H70">
        <v>11.3</v>
      </c>
      <c r="I70">
        <v>15</v>
      </c>
      <c r="J70">
        <v>4553</v>
      </c>
      <c r="K70">
        <v>4.72</v>
      </c>
      <c r="L70">
        <f>IF(rawdata!$A70="Strip_Mall", 1, 0)</f>
        <v>0</v>
      </c>
      <c r="M70">
        <f>IF(rawdata!$A70="Mall", 1, 0)</f>
        <v>1</v>
      </c>
      <c r="N70">
        <f>IF(rawdata!$A70="Downtown", 1, 0)</f>
        <v>0</v>
      </c>
      <c r="O70">
        <f>IF(rawdata!$B70="Asian", 1, 0)</f>
        <v>0</v>
      </c>
      <c r="P70">
        <f>IF(rawdata!$B70="American", 1, 0)</f>
        <v>1</v>
      </c>
      <c r="Q70">
        <f>IF(rawdata!$B70="Italian", 1, 0)</f>
        <v>0</v>
      </c>
      <c r="R70">
        <f>IF(rawdata!$B70="Mexican", 1, 0)</f>
        <v>0</v>
      </c>
      <c r="S70">
        <f>IF(rawdata!$C70="Small", 1, 0)</f>
        <v>0</v>
      </c>
      <c r="T70">
        <f>IF(rawdata!$C70="Medium", 1, 0)</f>
        <v>0</v>
      </c>
      <c r="U70">
        <f>IF(rawdata!$D70="Yes", 1, 0)</f>
        <v>1</v>
      </c>
      <c r="V70">
        <f>IF(rawdata!$E70="Yes", 1, 0)</f>
        <v>1</v>
      </c>
      <c r="W70">
        <v>146468</v>
      </c>
      <c r="X70">
        <f t="shared" si="1"/>
        <v>11.894562253545814</v>
      </c>
    </row>
    <row r="71" spans="1:24" x14ac:dyDescent="0.3">
      <c r="A71" t="s">
        <v>18</v>
      </c>
      <c r="B71" t="s">
        <v>16</v>
      </c>
      <c r="C71" t="s">
        <v>14</v>
      </c>
      <c r="D71" t="s">
        <v>15</v>
      </c>
      <c r="E71" t="s">
        <v>19</v>
      </c>
      <c r="F71">
        <v>101</v>
      </c>
      <c r="G71">
        <v>30.16</v>
      </c>
      <c r="H71">
        <v>4.4000000000000004</v>
      </c>
      <c r="I71">
        <v>24</v>
      </c>
      <c r="J71">
        <v>2996</v>
      </c>
      <c r="K71">
        <v>4.32</v>
      </c>
      <c r="L71">
        <f>IF(rawdata!$A71="Strip_Mall", 1, 0)</f>
        <v>0</v>
      </c>
      <c r="M71">
        <f>IF(rawdata!$A71="Mall", 1, 0)</f>
        <v>0</v>
      </c>
      <c r="N71">
        <f>IF(rawdata!$A71="Downtown", 1, 0)</f>
        <v>0</v>
      </c>
      <c r="O71">
        <f>IF(rawdata!$B71="Asian", 1, 0)</f>
        <v>0</v>
      </c>
      <c r="P71">
        <f>IF(rawdata!$B71="American", 1, 0)</f>
        <v>1</v>
      </c>
      <c r="Q71">
        <f>IF(rawdata!$B71="Italian", 1, 0)</f>
        <v>0</v>
      </c>
      <c r="R71">
        <f>IF(rawdata!$B71="Mexican", 1, 0)</f>
        <v>0</v>
      </c>
      <c r="S71">
        <f>IF(rawdata!$C71="Small", 1, 0)</f>
        <v>0</v>
      </c>
      <c r="T71">
        <f>IF(rawdata!$C71="Medium", 1, 0)</f>
        <v>0</v>
      </c>
      <c r="U71">
        <f>IF(rawdata!$D71="Yes", 1, 0)</f>
        <v>1</v>
      </c>
      <c r="V71">
        <f>IF(rawdata!$E71="Yes", 1, 0)</f>
        <v>0</v>
      </c>
      <c r="W71">
        <v>137630</v>
      </c>
      <c r="X71">
        <f t="shared" si="1"/>
        <v>11.832324203973577</v>
      </c>
    </row>
    <row r="72" spans="1:24" x14ac:dyDescent="0.3">
      <c r="A72" t="s">
        <v>18</v>
      </c>
      <c r="B72" t="s">
        <v>25</v>
      </c>
      <c r="C72" t="s">
        <v>23</v>
      </c>
      <c r="D72" t="s">
        <v>15</v>
      </c>
      <c r="E72" t="s">
        <v>15</v>
      </c>
      <c r="F72">
        <v>63</v>
      </c>
      <c r="G72">
        <v>24.37</v>
      </c>
      <c r="H72">
        <v>0.5</v>
      </c>
      <c r="I72">
        <v>15</v>
      </c>
      <c r="J72">
        <v>2048</v>
      </c>
      <c r="K72">
        <v>4.68</v>
      </c>
      <c r="L72">
        <f>IF(rawdata!$A72="Strip_Mall", 1, 0)</f>
        <v>0</v>
      </c>
      <c r="M72">
        <f>IF(rawdata!$A72="Mall", 1, 0)</f>
        <v>0</v>
      </c>
      <c r="N72">
        <f>IF(rawdata!$A72="Downtown", 1, 0)</f>
        <v>0</v>
      </c>
      <c r="O72">
        <f>IF(rawdata!$B72="Asian", 1, 0)</f>
        <v>0</v>
      </c>
      <c r="P72">
        <f>IF(rawdata!$B72="American", 1, 0)</f>
        <v>0</v>
      </c>
      <c r="Q72">
        <f>IF(rawdata!$B72="Italian", 1, 0)</f>
        <v>0</v>
      </c>
      <c r="R72">
        <f>IF(rawdata!$B72="Mexican", 1, 0)</f>
        <v>0</v>
      </c>
      <c r="S72">
        <f>IF(rawdata!$C72="Small", 1, 0)</f>
        <v>0</v>
      </c>
      <c r="T72">
        <f>IF(rawdata!$C72="Medium", 1, 0)</f>
        <v>1</v>
      </c>
      <c r="U72">
        <f>IF(rawdata!$D72="Yes", 1, 0)</f>
        <v>1</v>
      </c>
      <c r="V72">
        <f>IF(rawdata!$E72="Yes", 1, 0)</f>
        <v>1</v>
      </c>
      <c r="W72">
        <v>77226</v>
      </c>
      <c r="X72">
        <f t="shared" si="1"/>
        <v>11.254491466877433</v>
      </c>
    </row>
    <row r="73" spans="1:24" x14ac:dyDescent="0.3">
      <c r="A73" t="s">
        <v>18</v>
      </c>
      <c r="B73" t="s">
        <v>20</v>
      </c>
      <c r="C73" t="s">
        <v>17</v>
      </c>
      <c r="D73" t="s">
        <v>15</v>
      </c>
      <c r="E73" t="s">
        <v>15</v>
      </c>
      <c r="F73">
        <v>80</v>
      </c>
      <c r="G73">
        <v>8</v>
      </c>
      <c r="H73">
        <v>4.7</v>
      </c>
      <c r="I73">
        <v>21</v>
      </c>
      <c r="J73">
        <v>14656</v>
      </c>
      <c r="K73">
        <v>3.71</v>
      </c>
      <c r="L73">
        <f>IF(rawdata!$A73="Strip_Mall", 1, 0)</f>
        <v>0</v>
      </c>
      <c r="M73">
        <f>IF(rawdata!$A73="Mall", 1, 0)</f>
        <v>0</v>
      </c>
      <c r="N73">
        <f>IF(rawdata!$A73="Downtown", 1, 0)</f>
        <v>0</v>
      </c>
      <c r="O73">
        <f>IF(rawdata!$B73="Asian", 1, 0)</f>
        <v>0</v>
      </c>
      <c r="P73">
        <f>IF(rawdata!$B73="American", 1, 0)</f>
        <v>0</v>
      </c>
      <c r="Q73">
        <f>IF(rawdata!$B73="Italian", 1, 0)</f>
        <v>1</v>
      </c>
      <c r="R73">
        <f>IF(rawdata!$B73="Mexican", 1, 0)</f>
        <v>0</v>
      </c>
      <c r="S73">
        <f>IF(rawdata!$C73="Small", 1, 0)</f>
        <v>1</v>
      </c>
      <c r="T73">
        <f>IF(rawdata!$C73="Medium", 1, 0)</f>
        <v>0</v>
      </c>
      <c r="U73">
        <f>IF(rawdata!$D73="Yes", 1, 0)</f>
        <v>1</v>
      </c>
      <c r="V73">
        <f>IF(rawdata!$E73="Yes", 1, 0)</f>
        <v>1</v>
      </c>
      <c r="W73">
        <v>50554</v>
      </c>
      <c r="X73">
        <f t="shared" si="1"/>
        <v>10.830797350892716</v>
      </c>
    </row>
    <row r="74" spans="1:24" x14ac:dyDescent="0.3">
      <c r="A74" t="s">
        <v>18</v>
      </c>
      <c r="B74" t="s">
        <v>20</v>
      </c>
      <c r="C74" t="s">
        <v>17</v>
      </c>
      <c r="D74" t="s">
        <v>19</v>
      </c>
      <c r="E74" t="s">
        <v>19</v>
      </c>
      <c r="F74">
        <v>76</v>
      </c>
      <c r="G74">
        <v>18.79</v>
      </c>
      <c r="H74">
        <v>7.1</v>
      </c>
      <c r="I74">
        <v>17</v>
      </c>
      <c r="J74">
        <v>587</v>
      </c>
      <c r="K74">
        <v>4.3899999999999997</v>
      </c>
      <c r="L74">
        <f>IF(rawdata!$A74="Strip_Mall", 1, 0)</f>
        <v>0</v>
      </c>
      <c r="M74">
        <f>IF(rawdata!$A74="Mall", 1, 0)</f>
        <v>0</v>
      </c>
      <c r="N74">
        <f>IF(rawdata!$A74="Downtown", 1, 0)</f>
        <v>0</v>
      </c>
      <c r="O74">
        <f>IF(rawdata!$B74="Asian", 1, 0)</f>
        <v>0</v>
      </c>
      <c r="P74">
        <f>IF(rawdata!$B74="American", 1, 0)</f>
        <v>0</v>
      </c>
      <c r="Q74">
        <f>IF(rawdata!$B74="Italian", 1, 0)</f>
        <v>1</v>
      </c>
      <c r="R74">
        <f>IF(rawdata!$B74="Mexican", 1, 0)</f>
        <v>0</v>
      </c>
      <c r="S74">
        <f>IF(rawdata!$C74="Small", 1, 0)</f>
        <v>1</v>
      </c>
      <c r="T74">
        <f>IF(rawdata!$C74="Medium", 1, 0)</f>
        <v>0</v>
      </c>
      <c r="U74">
        <f>IF(rawdata!$D74="Yes", 1, 0)</f>
        <v>0</v>
      </c>
      <c r="V74">
        <f>IF(rawdata!$E74="Yes", 1, 0)</f>
        <v>0</v>
      </c>
      <c r="W74">
        <v>40501</v>
      </c>
      <c r="X74">
        <f t="shared" si="1"/>
        <v>10.609081944147828</v>
      </c>
    </row>
    <row r="75" spans="1:24" x14ac:dyDescent="0.3">
      <c r="A75" t="s">
        <v>24</v>
      </c>
      <c r="B75" t="s">
        <v>13</v>
      </c>
      <c r="C75" t="s">
        <v>23</v>
      </c>
      <c r="D75" t="s">
        <v>15</v>
      </c>
      <c r="E75" t="s">
        <v>19</v>
      </c>
      <c r="F75">
        <v>75</v>
      </c>
      <c r="G75">
        <v>13.25</v>
      </c>
      <c r="H75">
        <v>5.9</v>
      </c>
      <c r="I75">
        <v>20</v>
      </c>
      <c r="J75">
        <v>1251</v>
      </c>
      <c r="K75">
        <v>3.08</v>
      </c>
      <c r="L75">
        <f>IF(rawdata!$A75="Strip_Mall", 1, 0)</f>
        <v>0</v>
      </c>
      <c r="M75">
        <f>IF(rawdata!$A75="Mall", 1, 0)</f>
        <v>0</v>
      </c>
      <c r="N75">
        <f>IF(rawdata!$A75="Downtown", 1, 0)</f>
        <v>1</v>
      </c>
      <c r="O75">
        <f>IF(rawdata!$B75="Asian", 1, 0)</f>
        <v>1</v>
      </c>
      <c r="P75">
        <f>IF(rawdata!$B75="American", 1, 0)</f>
        <v>0</v>
      </c>
      <c r="Q75">
        <f>IF(rawdata!$B75="Italian", 1, 0)</f>
        <v>0</v>
      </c>
      <c r="R75">
        <f>IF(rawdata!$B75="Mexican", 1, 0)</f>
        <v>0</v>
      </c>
      <c r="S75">
        <f>IF(rawdata!$C75="Small", 1, 0)</f>
        <v>0</v>
      </c>
      <c r="T75">
        <f>IF(rawdata!$C75="Medium", 1, 0)</f>
        <v>1</v>
      </c>
      <c r="U75">
        <f>IF(rawdata!$D75="Yes", 1, 0)</f>
        <v>1</v>
      </c>
      <c r="V75">
        <f>IF(rawdata!$E75="Yes", 1, 0)</f>
        <v>0</v>
      </c>
      <c r="W75">
        <v>55950</v>
      </c>
      <c r="X75">
        <f t="shared" si="1"/>
        <v>10.932213713740071</v>
      </c>
    </row>
    <row r="76" spans="1:24" x14ac:dyDescent="0.3">
      <c r="A76" t="s">
        <v>18</v>
      </c>
      <c r="B76" t="s">
        <v>20</v>
      </c>
      <c r="C76" t="s">
        <v>14</v>
      </c>
      <c r="D76" t="s">
        <v>19</v>
      </c>
      <c r="E76" t="s">
        <v>15</v>
      </c>
      <c r="F76">
        <v>120</v>
      </c>
      <c r="G76">
        <v>25.11</v>
      </c>
      <c r="H76">
        <v>3.6</v>
      </c>
      <c r="I76">
        <v>24</v>
      </c>
      <c r="J76">
        <v>7343</v>
      </c>
      <c r="K76">
        <v>4.8899999999999997</v>
      </c>
      <c r="L76">
        <f>IF(rawdata!$A76="Strip_Mall", 1, 0)</f>
        <v>0</v>
      </c>
      <c r="M76">
        <f>IF(rawdata!$A76="Mall", 1, 0)</f>
        <v>0</v>
      </c>
      <c r="N76">
        <f>IF(rawdata!$A76="Downtown", 1, 0)</f>
        <v>0</v>
      </c>
      <c r="O76">
        <f>IF(rawdata!$B76="Asian", 1, 0)</f>
        <v>0</v>
      </c>
      <c r="P76">
        <f>IF(rawdata!$B76="American", 1, 0)</f>
        <v>0</v>
      </c>
      <c r="Q76">
        <f>IF(rawdata!$B76="Italian", 1, 0)</f>
        <v>1</v>
      </c>
      <c r="R76">
        <f>IF(rawdata!$B76="Mexican", 1, 0)</f>
        <v>0</v>
      </c>
      <c r="S76">
        <f>IF(rawdata!$C76="Small", 1, 0)</f>
        <v>0</v>
      </c>
      <c r="T76">
        <f>IF(rawdata!$C76="Medium", 1, 0)</f>
        <v>0</v>
      </c>
      <c r="U76">
        <f>IF(rawdata!$D76="Yes", 1, 0)</f>
        <v>0</v>
      </c>
      <c r="V76">
        <f>IF(rawdata!$E76="Yes", 1, 0)</f>
        <v>1</v>
      </c>
      <c r="W76">
        <v>192946</v>
      </c>
      <c r="X76">
        <f t="shared" si="1"/>
        <v>12.170165635991616</v>
      </c>
    </row>
    <row r="77" spans="1:24" x14ac:dyDescent="0.3">
      <c r="A77" t="s">
        <v>21</v>
      </c>
      <c r="B77" t="s">
        <v>16</v>
      </c>
      <c r="C77" t="s">
        <v>23</v>
      </c>
      <c r="D77" t="s">
        <v>19</v>
      </c>
      <c r="E77" t="s">
        <v>15</v>
      </c>
      <c r="F77">
        <v>54</v>
      </c>
      <c r="G77">
        <v>18.420000000000002</v>
      </c>
      <c r="H77">
        <v>0.6</v>
      </c>
      <c r="I77">
        <v>19</v>
      </c>
      <c r="J77">
        <v>634</v>
      </c>
      <c r="K77">
        <v>4.51</v>
      </c>
      <c r="L77">
        <f>IF(rawdata!$A77="Strip_Mall", 1, 0)</f>
        <v>0</v>
      </c>
      <c r="M77">
        <f>IF(rawdata!$A77="Mall", 1, 0)</f>
        <v>1</v>
      </c>
      <c r="N77">
        <f>IF(rawdata!$A77="Downtown", 1, 0)</f>
        <v>0</v>
      </c>
      <c r="O77">
        <f>IF(rawdata!$B77="Asian", 1, 0)</f>
        <v>0</v>
      </c>
      <c r="P77">
        <f>IF(rawdata!$B77="American", 1, 0)</f>
        <v>1</v>
      </c>
      <c r="Q77">
        <f>IF(rawdata!$B77="Italian", 1, 0)</f>
        <v>0</v>
      </c>
      <c r="R77">
        <f>IF(rawdata!$B77="Mexican", 1, 0)</f>
        <v>0</v>
      </c>
      <c r="S77">
        <f>IF(rawdata!$C77="Small", 1, 0)</f>
        <v>0</v>
      </c>
      <c r="T77">
        <f>IF(rawdata!$C77="Medium", 1, 0)</f>
        <v>1</v>
      </c>
      <c r="U77">
        <f>IF(rawdata!$D77="Yes", 1, 0)</f>
        <v>0</v>
      </c>
      <c r="V77">
        <f>IF(rawdata!$E77="Yes", 1, 0)</f>
        <v>1</v>
      </c>
      <c r="W77">
        <v>62578</v>
      </c>
      <c r="X77">
        <f t="shared" si="1"/>
        <v>11.044169057619809</v>
      </c>
    </row>
    <row r="78" spans="1:24" x14ac:dyDescent="0.3">
      <c r="A78" t="s">
        <v>18</v>
      </c>
      <c r="B78" t="s">
        <v>25</v>
      </c>
      <c r="C78" t="s">
        <v>23</v>
      </c>
      <c r="D78" t="s">
        <v>15</v>
      </c>
      <c r="E78" t="s">
        <v>15</v>
      </c>
      <c r="F78">
        <v>104</v>
      </c>
      <c r="G78">
        <v>13.54</v>
      </c>
      <c r="H78">
        <v>15.7</v>
      </c>
      <c r="I78">
        <v>28</v>
      </c>
      <c r="J78">
        <v>6161</v>
      </c>
      <c r="K78">
        <v>4.75</v>
      </c>
      <c r="L78">
        <f>IF(rawdata!$A78="Strip_Mall", 1, 0)</f>
        <v>0</v>
      </c>
      <c r="M78">
        <f>IF(rawdata!$A78="Mall", 1, 0)</f>
        <v>0</v>
      </c>
      <c r="N78">
        <f>IF(rawdata!$A78="Downtown", 1, 0)</f>
        <v>0</v>
      </c>
      <c r="O78">
        <f>IF(rawdata!$B78="Asian", 1, 0)</f>
        <v>0</v>
      </c>
      <c r="P78">
        <f>IF(rawdata!$B78="American", 1, 0)</f>
        <v>0</v>
      </c>
      <c r="Q78">
        <f>IF(rawdata!$B78="Italian", 1, 0)</f>
        <v>0</v>
      </c>
      <c r="R78">
        <f>IF(rawdata!$B78="Mexican", 1, 0)</f>
        <v>0</v>
      </c>
      <c r="S78">
        <f>IF(rawdata!$C78="Small", 1, 0)</f>
        <v>0</v>
      </c>
      <c r="T78">
        <f>IF(rawdata!$C78="Medium", 1, 0)</f>
        <v>1</v>
      </c>
      <c r="U78">
        <f>IF(rawdata!$D78="Yes", 1, 0)</f>
        <v>1</v>
      </c>
      <c r="V78">
        <f>IF(rawdata!$E78="Yes", 1, 0)</f>
        <v>1</v>
      </c>
      <c r="W78">
        <v>138190</v>
      </c>
      <c r="X78">
        <f t="shared" si="1"/>
        <v>11.836384828797531</v>
      </c>
    </row>
    <row r="79" spans="1:24" x14ac:dyDescent="0.3">
      <c r="A79" t="s">
        <v>24</v>
      </c>
      <c r="B79" t="s">
        <v>13</v>
      </c>
      <c r="C79" t="s">
        <v>17</v>
      </c>
      <c r="D79" t="s">
        <v>15</v>
      </c>
      <c r="E79" t="s">
        <v>19</v>
      </c>
      <c r="F79">
        <v>76</v>
      </c>
      <c r="G79">
        <v>21.51</v>
      </c>
      <c r="H79">
        <v>7.6</v>
      </c>
      <c r="I79">
        <v>21</v>
      </c>
      <c r="J79">
        <v>1332</v>
      </c>
      <c r="K79">
        <v>4.2699999999999996</v>
      </c>
      <c r="L79">
        <f>IF(rawdata!$A79="Strip_Mall", 1, 0)</f>
        <v>0</v>
      </c>
      <c r="M79">
        <f>IF(rawdata!$A79="Mall", 1, 0)</f>
        <v>0</v>
      </c>
      <c r="N79">
        <f>IF(rawdata!$A79="Downtown", 1, 0)</f>
        <v>1</v>
      </c>
      <c r="O79">
        <f>IF(rawdata!$B79="Asian", 1, 0)</f>
        <v>1</v>
      </c>
      <c r="P79">
        <f>IF(rawdata!$B79="American", 1, 0)</f>
        <v>0</v>
      </c>
      <c r="Q79">
        <f>IF(rawdata!$B79="Italian", 1, 0)</f>
        <v>0</v>
      </c>
      <c r="R79">
        <f>IF(rawdata!$B79="Mexican", 1, 0)</f>
        <v>0</v>
      </c>
      <c r="S79">
        <f>IF(rawdata!$C79="Small", 1, 0)</f>
        <v>1</v>
      </c>
      <c r="T79">
        <f>IF(rawdata!$C79="Medium", 1, 0)</f>
        <v>0</v>
      </c>
      <c r="U79">
        <f>IF(rawdata!$D79="Yes", 1, 0)</f>
        <v>1</v>
      </c>
      <c r="V79">
        <f>IF(rawdata!$E79="Yes", 1, 0)</f>
        <v>0</v>
      </c>
      <c r="W79">
        <v>70675</v>
      </c>
      <c r="X79">
        <f t="shared" si="1"/>
        <v>11.165847182561791</v>
      </c>
    </row>
    <row r="80" spans="1:24" x14ac:dyDescent="0.3">
      <c r="A80" t="s">
        <v>24</v>
      </c>
      <c r="B80" t="s">
        <v>25</v>
      </c>
      <c r="C80" t="s">
        <v>17</v>
      </c>
      <c r="D80" t="s">
        <v>15</v>
      </c>
      <c r="E80" t="s">
        <v>15</v>
      </c>
      <c r="F80">
        <v>54</v>
      </c>
      <c r="G80">
        <v>19.22</v>
      </c>
      <c r="H80">
        <v>5.7</v>
      </c>
      <c r="I80">
        <v>17</v>
      </c>
      <c r="J80">
        <v>1580</v>
      </c>
      <c r="K80">
        <v>4</v>
      </c>
      <c r="L80">
        <f>IF(rawdata!$A80="Strip_Mall", 1, 0)</f>
        <v>0</v>
      </c>
      <c r="M80">
        <f>IF(rawdata!$A80="Mall", 1, 0)</f>
        <v>0</v>
      </c>
      <c r="N80">
        <f>IF(rawdata!$A80="Downtown", 1, 0)</f>
        <v>1</v>
      </c>
      <c r="O80">
        <f>IF(rawdata!$B80="Asian", 1, 0)</f>
        <v>0</v>
      </c>
      <c r="P80">
        <f>IF(rawdata!$B80="American", 1, 0)</f>
        <v>0</v>
      </c>
      <c r="Q80">
        <f>IF(rawdata!$B80="Italian", 1, 0)</f>
        <v>0</v>
      </c>
      <c r="R80">
        <f>IF(rawdata!$B80="Mexican", 1, 0)</f>
        <v>0</v>
      </c>
      <c r="S80">
        <f>IF(rawdata!$C80="Small", 1, 0)</f>
        <v>1</v>
      </c>
      <c r="T80">
        <f>IF(rawdata!$C80="Medium", 1, 0)</f>
        <v>0</v>
      </c>
      <c r="U80">
        <f>IF(rawdata!$D80="Yes", 1, 0)</f>
        <v>1</v>
      </c>
      <c r="V80">
        <f>IF(rawdata!$E80="Yes", 1, 0)</f>
        <v>1</v>
      </c>
      <c r="W80">
        <v>89242</v>
      </c>
      <c r="X80">
        <f t="shared" si="1"/>
        <v>11.39910705977001</v>
      </c>
    </row>
    <row r="81" spans="1:24" x14ac:dyDescent="0.3">
      <c r="A81" t="s">
        <v>18</v>
      </c>
      <c r="B81" t="s">
        <v>25</v>
      </c>
      <c r="C81" t="s">
        <v>23</v>
      </c>
      <c r="D81" t="s">
        <v>19</v>
      </c>
      <c r="E81" t="s">
        <v>19</v>
      </c>
      <c r="F81">
        <v>73</v>
      </c>
      <c r="G81">
        <v>16.68</v>
      </c>
      <c r="H81">
        <v>0.5</v>
      </c>
      <c r="I81">
        <v>23</v>
      </c>
      <c r="J81">
        <v>1400</v>
      </c>
      <c r="K81">
        <v>4.78</v>
      </c>
      <c r="L81">
        <f>IF(rawdata!$A81="Strip_Mall", 1, 0)</f>
        <v>0</v>
      </c>
      <c r="M81">
        <f>IF(rawdata!$A81="Mall", 1, 0)</f>
        <v>0</v>
      </c>
      <c r="N81">
        <f>IF(rawdata!$A81="Downtown", 1, 0)</f>
        <v>0</v>
      </c>
      <c r="O81">
        <f>IF(rawdata!$B81="Asian", 1, 0)</f>
        <v>0</v>
      </c>
      <c r="P81">
        <f>IF(rawdata!$B81="American", 1, 0)</f>
        <v>0</v>
      </c>
      <c r="Q81">
        <f>IF(rawdata!$B81="Italian", 1, 0)</f>
        <v>0</v>
      </c>
      <c r="R81">
        <f>IF(rawdata!$B81="Mexican", 1, 0)</f>
        <v>0</v>
      </c>
      <c r="S81">
        <f>IF(rawdata!$C81="Small", 1, 0)</f>
        <v>0</v>
      </c>
      <c r="T81">
        <f>IF(rawdata!$C81="Medium", 1, 0)</f>
        <v>1</v>
      </c>
      <c r="U81">
        <f>IF(rawdata!$D81="Yes", 1, 0)</f>
        <v>0</v>
      </c>
      <c r="V81">
        <f>IF(rawdata!$E81="Yes", 1, 0)</f>
        <v>0</v>
      </c>
      <c r="W81">
        <v>73495</v>
      </c>
      <c r="X81">
        <f t="shared" si="1"/>
        <v>11.204972655676087</v>
      </c>
    </row>
    <row r="82" spans="1:24" x14ac:dyDescent="0.3">
      <c r="A82" t="s">
        <v>24</v>
      </c>
      <c r="B82" t="s">
        <v>22</v>
      </c>
      <c r="C82" t="s">
        <v>17</v>
      </c>
      <c r="D82" t="s">
        <v>15</v>
      </c>
      <c r="E82" t="s">
        <v>15</v>
      </c>
      <c r="F82">
        <v>94</v>
      </c>
      <c r="G82">
        <v>34.159999999999997</v>
      </c>
      <c r="H82">
        <v>1.7</v>
      </c>
      <c r="I82">
        <v>21</v>
      </c>
      <c r="J82">
        <v>14154</v>
      </c>
      <c r="K82">
        <v>3.56</v>
      </c>
      <c r="L82">
        <f>IF(rawdata!$A82="Strip_Mall", 1, 0)</f>
        <v>0</v>
      </c>
      <c r="M82">
        <f>IF(rawdata!$A82="Mall", 1, 0)</f>
        <v>0</v>
      </c>
      <c r="N82">
        <f>IF(rawdata!$A82="Downtown", 1, 0)</f>
        <v>1</v>
      </c>
      <c r="O82">
        <f>IF(rawdata!$B82="Asian", 1, 0)</f>
        <v>0</v>
      </c>
      <c r="P82">
        <f>IF(rawdata!$B82="American", 1, 0)</f>
        <v>0</v>
      </c>
      <c r="Q82">
        <f>IF(rawdata!$B82="Italian", 1, 0)</f>
        <v>0</v>
      </c>
      <c r="R82">
        <f>IF(rawdata!$B82="Mexican", 1, 0)</f>
        <v>1</v>
      </c>
      <c r="S82">
        <f>IF(rawdata!$C82="Small", 1, 0)</f>
        <v>1</v>
      </c>
      <c r="T82">
        <f>IF(rawdata!$C82="Medium", 1, 0)</f>
        <v>0</v>
      </c>
      <c r="U82">
        <f>IF(rawdata!$D82="Yes", 1, 0)</f>
        <v>1</v>
      </c>
      <c r="V82">
        <f>IF(rawdata!$E82="Yes", 1, 0)</f>
        <v>1</v>
      </c>
      <c r="W82">
        <v>93016</v>
      </c>
      <c r="X82">
        <f t="shared" si="1"/>
        <v>11.440526800348444</v>
      </c>
    </row>
    <row r="83" spans="1:24" x14ac:dyDescent="0.3">
      <c r="A83" t="s">
        <v>18</v>
      </c>
      <c r="B83" t="s">
        <v>22</v>
      </c>
      <c r="C83" t="s">
        <v>23</v>
      </c>
      <c r="D83" t="s">
        <v>15</v>
      </c>
      <c r="E83" t="s">
        <v>15</v>
      </c>
      <c r="F83">
        <v>64</v>
      </c>
      <c r="G83">
        <v>13.76</v>
      </c>
      <c r="H83">
        <v>12.3</v>
      </c>
      <c r="I83">
        <v>20</v>
      </c>
      <c r="J83">
        <v>3552</v>
      </c>
      <c r="K83">
        <v>3.54</v>
      </c>
      <c r="L83">
        <f>IF(rawdata!$A83="Strip_Mall", 1, 0)</f>
        <v>0</v>
      </c>
      <c r="M83">
        <f>IF(rawdata!$A83="Mall", 1, 0)</f>
        <v>0</v>
      </c>
      <c r="N83">
        <f>IF(rawdata!$A83="Downtown", 1, 0)</f>
        <v>0</v>
      </c>
      <c r="O83">
        <f>IF(rawdata!$B83="Asian", 1, 0)</f>
        <v>0</v>
      </c>
      <c r="P83">
        <f>IF(rawdata!$B83="American", 1, 0)</f>
        <v>0</v>
      </c>
      <c r="Q83">
        <f>IF(rawdata!$B83="Italian", 1, 0)</f>
        <v>0</v>
      </c>
      <c r="R83">
        <f>IF(rawdata!$B83="Mexican", 1, 0)</f>
        <v>1</v>
      </c>
      <c r="S83">
        <f>IF(rawdata!$C83="Small", 1, 0)</f>
        <v>0</v>
      </c>
      <c r="T83">
        <f>IF(rawdata!$C83="Medium", 1, 0)</f>
        <v>1</v>
      </c>
      <c r="U83">
        <f>IF(rawdata!$D83="Yes", 1, 0)</f>
        <v>1</v>
      </c>
      <c r="V83">
        <f>IF(rawdata!$E83="Yes", 1, 0)</f>
        <v>1</v>
      </c>
      <c r="W83">
        <v>62713</v>
      </c>
      <c r="X83">
        <f t="shared" si="1"/>
        <v>11.046324041652891</v>
      </c>
    </row>
    <row r="84" spans="1:24" x14ac:dyDescent="0.3">
      <c r="A84" t="s">
        <v>24</v>
      </c>
      <c r="B84" t="s">
        <v>20</v>
      </c>
      <c r="C84" t="s">
        <v>23</v>
      </c>
      <c r="D84" t="s">
        <v>15</v>
      </c>
      <c r="E84" t="s">
        <v>19</v>
      </c>
      <c r="F84">
        <v>56</v>
      </c>
      <c r="G84">
        <v>14.23</v>
      </c>
      <c r="H84">
        <v>1.2</v>
      </c>
      <c r="I84">
        <v>19</v>
      </c>
      <c r="J84">
        <v>1660</v>
      </c>
      <c r="K84">
        <v>3.27</v>
      </c>
      <c r="L84">
        <f>IF(rawdata!$A84="Strip_Mall", 1, 0)</f>
        <v>0</v>
      </c>
      <c r="M84">
        <f>IF(rawdata!$A84="Mall", 1, 0)</f>
        <v>0</v>
      </c>
      <c r="N84">
        <f>IF(rawdata!$A84="Downtown", 1, 0)</f>
        <v>1</v>
      </c>
      <c r="O84">
        <f>IF(rawdata!$B84="Asian", 1, 0)</f>
        <v>0</v>
      </c>
      <c r="P84">
        <f>IF(rawdata!$B84="American", 1, 0)</f>
        <v>0</v>
      </c>
      <c r="Q84">
        <f>IF(rawdata!$B84="Italian", 1, 0)</f>
        <v>1</v>
      </c>
      <c r="R84">
        <f>IF(rawdata!$B84="Mexican", 1, 0)</f>
        <v>0</v>
      </c>
      <c r="S84">
        <f>IF(rawdata!$C84="Small", 1, 0)</f>
        <v>0</v>
      </c>
      <c r="T84">
        <f>IF(rawdata!$C84="Medium", 1, 0)</f>
        <v>1</v>
      </c>
      <c r="U84">
        <f>IF(rawdata!$D84="Yes", 1, 0)</f>
        <v>1</v>
      </c>
      <c r="V84">
        <f>IF(rawdata!$E84="Yes", 1, 0)</f>
        <v>0</v>
      </c>
      <c r="W84">
        <v>58227</v>
      </c>
      <c r="X84">
        <f t="shared" si="1"/>
        <v>10.972104443668837</v>
      </c>
    </row>
    <row r="85" spans="1:24" x14ac:dyDescent="0.3">
      <c r="A85" t="s">
        <v>21</v>
      </c>
      <c r="B85" t="s">
        <v>20</v>
      </c>
      <c r="C85" t="s">
        <v>14</v>
      </c>
      <c r="D85" t="s">
        <v>15</v>
      </c>
      <c r="E85" t="s">
        <v>15</v>
      </c>
      <c r="F85">
        <v>79</v>
      </c>
      <c r="G85">
        <v>8</v>
      </c>
      <c r="H85">
        <v>1.2</v>
      </c>
      <c r="I85">
        <v>20</v>
      </c>
      <c r="J85">
        <v>5447</v>
      </c>
      <c r="K85">
        <v>4.76</v>
      </c>
      <c r="L85">
        <f>IF(rawdata!$A85="Strip_Mall", 1, 0)</f>
        <v>0</v>
      </c>
      <c r="M85">
        <f>IF(rawdata!$A85="Mall", 1, 0)</f>
        <v>1</v>
      </c>
      <c r="N85">
        <f>IF(rawdata!$A85="Downtown", 1, 0)</f>
        <v>0</v>
      </c>
      <c r="O85">
        <f>IF(rawdata!$B85="Asian", 1, 0)</f>
        <v>0</v>
      </c>
      <c r="P85">
        <f>IF(rawdata!$B85="American", 1, 0)</f>
        <v>0</v>
      </c>
      <c r="Q85">
        <f>IF(rawdata!$B85="Italian", 1, 0)</f>
        <v>1</v>
      </c>
      <c r="R85">
        <f>IF(rawdata!$B85="Mexican", 1, 0)</f>
        <v>0</v>
      </c>
      <c r="S85">
        <f>IF(rawdata!$C85="Small", 1, 0)</f>
        <v>0</v>
      </c>
      <c r="T85">
        <f>IF(rawdata!$C85="Medium", 1, 0)</f>
        <v>0</v>
      </c>
      <c r="U85">
        <f>IF(rawdata!$D85="Yes", 1, 0)</f>
        <v>1</v>
      </c>
      <c r="V85">
        <f>IF(rawdata!$E85="Yes", 1, 0)</f>
        <v>1</v>
      </c>
      <c r="W85">
        <v>119175</v>
      </c>
      <c r="X85">
        <f t="shared" si="1"/>
        <v>11.688348280073026</v>
      </c>
    </row>
    <row r="86" spans="1:24" x14ac:dyDescent="0.3">
      <c r="A86" t="s">
        <v>21</v>
      </c>
      <c r="B86" t="s">
        <v>25</v>
      </c>
      <c r="C86" t="s">
        <v>23</v>
      </c>
      <c r="D86" t="s">
        <v>15</v>
      </c>
      <c r="E86" t="s">
        <v>19</v>
      </c>
      <c r="F86">
        <v>100</v>
      </c>
      <c r="G86">
        <v>17.68</v>
      </c>
      <c r="H86">
        <v>2.2999999999999998</v>
      </c>
      <c r="I86">
        <v>23</v>
      </c>
      <c r="J86">
        <v>15000</v>
      </c>
      <c r="K86">
        <v>4.49</v>
      </c>
      <c r="L86">
        <f>IF(rawdata!$A86="Strip_Mall", 1, 0)</f>
        <v>0</v>
      </c>
      <c r="M86">
        <f>IF(rawdata!$A86="Mall", 1, 0)</f>
        <v>1</v>
      </c>
      <c r="N86">
        <f>IF(rawdata!$A86="Downtown", 1, 0)</f>
        <v>0</v>
      </c>
      <c r="O86">
        <f>IF(rawdata!$B86="Asian", 1, 0)</f>
        <v>0</v>
      </c>
      <c r="P86">
        <f>IF(rawdata!$B86="American", 1, 0)</f>
        <v>0</v>
      </c>
      <c r="Q86">
        <f>IF(rawdata!$B86="Italian", 1, 0)</f>
        <v>0</v>
      </c>
      <c r="R86">
        <f>IF(rawdata!$B86="Mexican", 1, 0)</f>
        <v>0</v>
      </c>
      <c r="S86">
        <f>IF(rawdata!$C86="Small", 1, 0)</f>
        <v>0</v>
      </c>
      <c r="T86">
        <f>IF(rawdata!$C86="Medium", 1, 0)</f>
        <v>1</v>
      </c>
      <c r="U86">
        <f>IF(rawdata!$D86="Yes", 1, 0)</f>
        <v>1</v>
      </c>
      <c r="V86">
        <f>IF(rawdata!$E86="Yes", 1, 0)</f>
        <v>0</v>
      </c>
      <c r="W86">
        <v>164607</v>
      </c>
      <c r="X86">
        <f t="shared" si="1"/>
        <v>12.011316093659849</v>
      </c>
    </row>
    <row r="87" spans="1:24" x14ac:dyDescent="0.3">
      <c r="A87" t="s">
        <v>24</v>
      </c>
      <c r="B87" t="s">
        <v>25</v>
      </c>
      <c r="C87" t="s">
        <v>23</v>
      </c>
      <c r="D87" t="s">
        <v>19</v>
      </c>
      <c r="E87" t="s">
        <v>15</v>
      </c>
      <c r="F87">
        <v>73</v>
      </c>
      <c r="G87">
        <v>25.12</v>
      </c>
      <c r="H87">
        <v>9.8000000000000007</v>
      </c>
      <c r="I87">
        <v>22</v>
      </c>
      <c r="J87">
        <v>2793</v>
      </c>
      <c r="K87">
        <v>3.48</v>
      </c>
      <c r="L87">
        <f>IF(rawdata!$A87="Strip_Mall", 1, 0)</f>
        <v>0</v>
      </c>
      <c r="M87">
        <f>IF(rawdata!$A87="Mall", 1, 0)</f>
        <v>0</v>
      </c>
      <c r="N87">
        <f>IF(rawdata!$A87="Downtown", 1, 0)</f>
        <v>1</v>
      </c>
      <c r="O87">
        <f>IF(rawdata!$B87="Asian", 1, 0)</f>
        <v>0</v>
      </c>
      <c r="P87">
        <f>IF(rawdata!$B87="American", 1, 0)</f>
        <v>0</v>
      </c>
      <c r="Q87">
        <f>IF(rawdata!$B87="Italian", 1, 0)</f>
        <v>0</v>
      </c>
      <c r="R87">
        <f>IF(rawdata!$B87="Mexican", 1, 0)</f>
        <v>0</v>
      </c>
      <c r="S87">
        <f>IF(rawdata!$C87="Small", 1, 0)</f>
        <v>0</v>
      </c>
      <c r="T87">
        <f>IF(rawdata!$C87="Medium", 1, 0)</f>
        <v>1</v>
      </c>
      <c r="U87">
        <f>IF(rawdata!$D87="Yes", 1, 0)</f>
        <v>0</v>
      </c>
      <c r="V87">
        <f>IF(rawdata!$E87="Yes", 1, 0)</f>
        <v>1</v>
      </c>
      <c r="W87">
        <v>119421</v>
      </c>
      <c r="X87">
        <f t="shared" si="1"/>
        <v>11.690410343872657</v>
      </c>
    </row>
    <row r="88" spans="1:24" x14ac:dyDescent="0.3">
      <c r="A88" t="s">
        <v>18</v>
      </c>
      <c r="B88" t="s">
        <v>22</v>
      </c>
      <c r="C88" t="s">
        <v>17</v>
      </c>
      <c r="D88" t="s">
        <v>15</v>
      </c>
      <c r="E88" t="s">
        <v>19</v>
      </c>
      <c r="F88">
        <v>40</v>
      </c>
      <c r="G88">
        <v>8</v>
      </c>
      <c r="H88">
        <v>0.9</v>
      </c>
      <c r="I88">
        <v>16</v>
      </c>
      <c r="J88">
        <v>2449</v>
      </c>
      <c r="K88">
        <v>3.91</v>
      </c>
      <c r="L88">
        <f>IF(rawdata!$A88="Strip_Mall", 1, 0)</f>
        <v>0</v>
      </c>
      <c r="M88">
        <f>IF(rawdata!$A88="Mall", 1, 0)</f>
        <v>0</v>
      </c>
      <c r="N88">
        <f>IF(rawdata!$A88="Downtown", 1, 0)</f>
        <v>0</v>
      </c>
      <c r="O88">
        <f>IF(rawdata!$B88="Asian", 1, 0)</f>
        <v>0</v>
      </c>
      <c r="P88">
        <f>IF(rawdata!$B88="American", 1, 0)</f>
        <v>0</v>
      </c>
      <c r="Q88">
        <f>IF(rawdata!$B88="Italian", 1, 0)</f>
        <v>0</v>
      </c>
      <c r="R88">
        <f>IF(rawdata!$B88="Mexican", 1, 0)</f>
        <v>1</v>
      </c>
      <c r="S88">
        <f>IF(rawdata!$C88="Small", 1, 0)</f>
        <v>1</v>
      </c>
      <c r="T88">
        <f>IF(rawdata!$C88="Medium", 1, 0)</f>
        <v>0</v>
      </c>
      <c r="U88">
        <f>IF(rawdata!$D88="Yes", 1, 0)</f>
        <v>1</v>
      </c>
      <c r="V88">
        <f>IF(rawdata!$E88="Yes", 1, 0)</f>
        <v>0</v>
      </c>
      <c r="W88">
        <v>23275</v>
      </c>
      <c r="X88">
        <f t="shared" si="1"/>
        <v>10.055135102145268</v>
      </c>
    </row>
    <row r="89" spans="1:24" x14ac:dyDescent="0.3">
      <c r="A89" t="s">
        <v>18</v>
      </c>
      <c r="B89" t="s">
        <v>25</v>
      </c>
      <c r="C89" t="s">
        <v>23</v>
      </c>
      <c r="D89" t="s">
        <v>19</v>
      </c>
      <c r="E89" t="s">
        <v>15</v>
      </c>
      <c r="F89">
        <v>42</v>
      </c>
      <c r="G89">
        <v>16</v>
      </c>
      <c r="H89">
        <v>3.4</v>
      </c>
      <c r="I89">
        <v>14</v>
      </c>
      <c r="J89">
        <v>10865</v>
      </c>
      <c r="K89">
        <v>4.57</v>
      </c>
      <c r="L89">
        <f>IF(rawdata!$A89="Strip_Mall", 1, 0)</f>
        <v>0</v>
      </c>
      <c r="M89">
        <f>IF(rawdata!$A89="Mall", 1, 0)</f>
        <v>0</v>
      </c>
      <c r="N89">
        <f>IF(rawdata!$A89="Downtown", 1, 0)</f>
        <v>0</v>
      </c>
      <c r="O89">
        <f>IF(rawdata!$B89="Asian", 1, 0)</f>
        <v>0</v>
      </c>
      <c r="P89">
        <f>IF(rawdata!$B89="American", 1, 0)</f>
        <v>0</v>
      </c>
      <c r="Q89">
        <f>IF(rawdata!$B89="Italian", 1, 0)</f>
        <v>0</v>
      </c>
      <c r="R89">
        <f>IF(rawdata!$B89="Mexican", 1, 0)</f>
        <v>0</v>
      </c>
      <c r="S89">
        <f>IF(rawdata!$C89="Small", 1, 0)</f>
        <v>0</v>
      </c>
      <c r="T89">
        <f>IF(rawdata!$C89="Medium", 1, 0)</f>
        <v>1</v>
      </c>
      <c r="U89">
        <f>IF(rawdata!$D89="Yes", 1, 0)</f>
        <v>0</v>
      </c>
      <c r="V89">
        <f>IF(rawdata!$E89="Yes", 1, 0)</f>
        <v>1</v>
      </c>
      <c r="W89">
        <v>82870</v>
      </c>
      <c r="X89">
        <f t="shared" si="1"/>
        <v>11.325028393843088</v>
      </c>
    </row>
    <row r="90" spans="1:24" x14ac:dyDescent="0.3">
      <c r="A90" t="s">
        <v>18</v>
      </c>
      <c r="B90" t="s">
        <v>16</v>
      </c>
      <c r="C90" t="s">
        <v>23</v>
      </c>
      <c r="D90" t="s">
        <v>15</v>
      </c>
      <c r="E90" t="s">
        <v>15</v>
      </c>
      <c r="F90">
        <v>56</v>
      </c>
      <c r="G90">
        <v>8.5500000000000007</v>
      </c>
      <c r="H90">
        <v>0.5</v>
      </c>
      <c r="I90">
        <v>17</v>
      </c>
      <c r="J90">
        <v>2456</v>
      </c>
      <c r="K90">
        <v>4.22</v>
      </c>
      <c r="L90">
        <f>IF(rawdata!$A90="Strip_Mall", 1, 0)</f>
        <v>0</v>
      </c>
      <c r="M90">
        <f>IF(rawdata!$A90="Mall", 1, 0)</f>
        <v>0</v>
      </c>
      <c r="N90">
        <f>IF(rawdata!$A90="Downtown", 1, 0)</f>
        <v>0</v>
      </c>
      <c r="O90">
        <f>IF(rawdata!$B90="Asian", 1, 0)</f>
        <v>0</v>
      </c>
      <c r="P90">
        <f>IF(rawdata!$B90="American", 1, 0)</f>
        <v>1</v>
      </c>
      <c r="Q90">
        <f>IF(rawdata!$B90="Italian", 1, 0)</f>
        <v>0</v>
      </c>
      <c r="R90">
        <f>IF(rawdata!$B90="Mexican", 1, 0)</f>
        <v>0</v>
      </c>
      <c r="S90">
        <f>IF(rawdata!$C90="Small", 1, 0)</f>
        <v>0</v>
      </c>
      <c r="T90">
        <f>IF(rawdata!$C90="Medium", 1, 0)</f>
        <v>1</v>
      </c>
      <c r="U90">
        <f>IF(rawdata!$D90="Yes", 1, 0)</f>
        <v>1</v>
      </c>
      <c r="V90">
        <f>IF(rawdata!$E90="Yes", 1, 0)</f>
        <v>1</v>
      </c>
      <c r="W90">
        <v>44238</v>
      </c>
      <c r="X90">
        <f t="shared" si="1"/>
        <v>10.697339427217706</v>
      </c>
    </row>
    <row r="91" spans="1:24" x14ac:dyDescent="0.3">
      <c r="A91" t="s">
        <v>18</v>
      </c>
      <c r="B91" t="s">
        <v>20</v>
      </c>
      <c r="C91" t="s">
        <v>23</v>
      </c>
      <c r="D91" t="s">
        <v>15</v>
      </c>
      <c r="E91" t="s">
        <v>15</v>
      </c>
      <c r="F91">
        <v>62</v>
      </c>
      <c r="G91">
        <v>29.54</v>
      </c>
      <c r="H91">
        <v>3.9</v>
      </c>
      <c r="I91">
        <v>15</v>
      </c>
      <c r="J91">
        <v>1024</v>
      </c>
      <c r="K91">
        <v>3.49</v>
      </c>
      <c r="L91">
        <f>IF(rawdata!$A91="Strip_Mall", 1, 0)</f>
        <v>0</v>
      </c>
      <c r="M91">
        <f>IF(rawdata!$A91="Mall", 1, 0)</f>
        <v>0</v>
      </c>
      <c r="N91">
        <f>IF(rawdata!$A91="Downtown", 1, 0)</f>
        <v>0</v>
      </c>
      <c r="O91">
        <f>IF(rawdata!$B91="Asian", 1, 0)</f>
        <v>0</v>
      </c>
      <c r="P91">
        <f>IF(rawdata!$B91="American", 1, 0)</f>
        <v>0</v>
      </c>
      <c r="Q91">
        <f>IF(rawdata!$B91="Italian", 1, 0)</f>
        <v>1</v>
      </c>
      <c r="R91">
        <f>IF(rawdata!$B91="Mexican", 1, 0)</f>
        <v>0</v>
      </c>
      <c r="S91">
        <f>IF(rawdata!$C91="Small", 1, 0)</f>
        <v>0</v>
      </c>
      <c r="T91">
        <f>IF(rawdata!$C91="Medium", 1, 0)</f>
        <v>1</v>
      </c>
      <c r="U91">
        <f>IF(rawdata!$D91="Yes", 1, 0)</f>
        <v>1</v>
      </c>
      <c r="V91">
        <f>IF(rawdata!$E91="Yes", 1, 0)</f>
        <v>1</v>
      </c>
      <c r="W91">
        <v>78542</v>
      </c>
      <c r="X91">
        <f t="shared" si="1"/>
        <v>11.271388792539128</v>
      </c>
    </row>
    <row r="92" spans="1:24" x14ac:dyDescent="0.3">
      <c r="A92" t="s">
        <v>21</v>
      </c>
      <c r="B92" t="s">
        <v>16</v>
      </c>
      <c r="C92" t="s">
        <v>14</v>
      </c>
      <c r="D92" t="s">
        <v>19</v>
      </c>
      <c r="E92" t="s">
        <v>19</v>
      </c>
      <c r="F92">
        <v>74</v>
      </c>
      <c r="G92">
        <v>28.86</v>
      </c>
      <c r="H92">
        <v>3.2</v>
      </c>
      <c r="I92">
        <v>20</v>
      </c>
      <c r="J92">
        <v>2039</v>
      </c>
      <c r="K92">
        <v>4.78</v>
      </c>
      <c r="L92">
        <f>IF(rawdata!$A92="Strip_Mall", 1, 0)</f>
        <v>0</v>
      </c>
      <c r="M92">
        <f>IF(rawdata!$A92="Mall", 1, 0)</f>
        <v>1</v>
      </c>
      <c r="N92">
        <f>IF(rawdata!$A92="Downtown", 1, 0)</f>
        <v>0</v>
      </c>
      <c r="O92">
        <f>IF(rawdata!$B92="Asian", 1, 0)</f>
        <v>0</v>
      </c>
      <c r="P92">
        <f>IF(rawdata!$B92="American", 1, 0)</f>
        <v>1</v>
      </c>
      <c r="Q92">
        <f>IF(rawdata!$B92="Italian", 1, 0)</f>
        <v>0</v>
      </c>
      <c r="R92">
        <f>IF(rawdata!$B92="Mexican", 1, 0)</f>
        <v>0</v>
      </c>
      <c r="S92">
        <f>IF(rawdata!$C92="Small", 1, 0)</f>
        <v>0</v>
      </c>
      <c r="T92">
        <f>IF(rawdata!$C92="Medium", 1, 0)</f>
        <v>0</v>
      </c>
      <c r="U92">
        <f>IF(rawdata!$D92="Yes", 1, 0)</f>
        <v>0</v>
      </c>
      <c r="V92">
        <f>IF(rawdata!$E92="Yes", 1, 0)</f>
        <v>0</v>
      </c>
      <c r="W92">
        <v>122300</v>
      </c>
      <c r="X92">
        <f t="shared" si="1"/>
        <v>11.714232321675263</v>
      </c>
    </row>
    <row r="93" spans="1:24" x14ac:dyDescent="0.3">
      <c r="A93" t="s">
        <v>18</v>
      </c>
      <c r="B93" t="s">
        <v>25</v>
      </c>
      <c r="C93" t="s">
        <v>17</v>
      </c>
      <c r="D93" t="s">
        <v>15</v>
      </c>
      <c r="E93" t="s">
        <v>15</v>
      </c>
      <c r="F93">
        <v>92</v>
      </c>
      <c r="G93">
        <v>20.68</v>
      </c>
      <c r="H93">
        <v>1.4</v>
      </c>
      <c r="I93">
        <v>28</v>
      </c>
      <c r="J93">
        <v>6501</v>
      </c>
      <c r="K93">
        <v>4.04</v>
      </c>
      <c r="L93">
        <f>IF(rawdata!$A93="Strip_Mall", 1, 0)</f>
        <v>0</v>
      </c>
      <c r="M93">
        <f>IF(rawdata!$A93="Mall", 1, 0)</f>
        <v>0</v>
      </c>
      <c r="N93">
        <f>IF(rawdata!$A93="Downtown", 1, 0)</f>
        <v>0</v>
      </c>
      <c r="O93">
        <f>IF(rawdata!$B93="Asian", 1, 0)</f>
        <v>0</v>
      </c>
      <c r="P93">
        <f>IF(rawdata!$B93="American", 1, 0)</f>
        <v>0</v>
      </c>
      <c r="Q93">
        <f>IF(rawdata!$B93="Italian", 1, 0)</f>
        <v>0</v>
      </c>
      <c r="R93">
        <f>IF(rawdata!$B93="Mexican", 1, 0)</f>
        <v>0</v>
      </c>
      <c r="S93">
        <f>IF(rawdata!$C93="Small", 1, 0)</f>
        <v>1</v>
      </c>
      <c r="T93">
        <f>IF(rawdata!$C93="Medium", 1, 0)</f>
        <v>0</v>
      </c>
      <c r="U93">
        <f>IF(rawdata!$D93="Yes", 1, 0)</f>
        <v>1</v>
      </c>
      <c r="V93">
        <f>IF(rawdata!$E93="Yes", 1, 0)</f>
        <v>1</v>
      </c>
      <c r="W93">
        <v>80730</v>
      </c>
      <c r="X93">
        <f t="shared" si="1"/>
        <v>11.298865532389062</v>
      </c>
    </row>
    <row r="94" spans="1:24" x14ac:dyDescent="0.3">
      <c r="A94" t="s">
        <v>18</v>
      </c>
      <c r="B94" t="s">
        <v>16</v>
      </c>
      <c r="C94" t="s">
        <v>23</v>
      </c>
      <c r="D94" t="s">
        <v>15</v>
      </c>
      <c r="E94" t="s">
        <v>19</v>
      </c>
      <c r="F94">
        <v>64</v>
      </c>
      <c r="G94">
        <v>29.43</v>
      </c>
      <c r="H94">
        <v>0.5</v>
      </c>
      <c r="I94">
        <v>15</v>
      </c>
      <c r="J94">
        <v>5275</v>
      </c>
      <c r="K94">
        <v>4.84</v>
      </c>
      <c r="L94">
        <f>IF(rawdata!$A94="Strip_Mall", 1, 0)</f>
        <v>0</v>
      </c>
      <c r="M94">
        <f>IF(rawdata!$A94="Mall", 1, 0)</f>
        <v>0</v>
      </c>
      <c r="N94">
        <f>IF(rawdata!$A94="Downtown", 1, 0)</f>
        <v>0</v>
      </c>
      <c r="O94">
        <f>IF(rawdata!$B94="Asian", 1, 0)</f>
        <v>0</v>
      </c>
      <c r="P94">
        <f>IF(rawdata!$B94="American", 1, 0)</f>
        <v>1</v>
      </c>
      <c r="Q94">
        <f>IF(rawdata!$B94="Italian", 1, 0)</f>
        <v>0</v>
      </c>
      <c r="R94">
        <f>IF(rawdata!$B94="Mexican", 1, 0)</f>
        <v>0</v>
      </c>
      <c r="S94">
        <f>IF(rawdata!$C94="Small", 1, 0)</f>
        <v>0</v>
      </c>
      <c r="T94">
        <f>IF(rawdata!$C94="Medium", 1, 0)</f>
        <v>1</v>
      </c>
      <c r="U94">
        <f>IF(rawdata!$D94="Yes", 1, 0)</f>
        <v>1</v>
      </c>
      <c r="V94">
        <f>IF(rawdata!$E94="Yes", 1, 0)</f>
        <v>0</v>
      </c>
      <c r="W94">
        <v>65651</v>
      </c>
      <c r="X94">
        <f t="shared" si="1"/>
        <v>11.092108111907391</v>
      </c>
    </row>
    <row r="95" spans="1:24" x14ac:dyDescent="0.3">
      <c r="A95" t="s">
        <v>12</v>
      </c>
      <c r="B95" t="s">
        <v>16</v>
      </c>
      <c r="C95" t="s">
        <v>23</v>
      </c>
      <c r="D95" t="s">
        <v>15</v>
      </c>
      <c r="E95" t="s">
        <v>15</v>
      </c>
      <c r="F95">
        <v>47</v>
      </c>
      <c r="G95">
        <v>11.06</v>
      </c>
      <c r="H95">
        <v>17.5</v>
      </c>
      <c r="I95">
        <v>16</v>
      </c>
      <c r="J95">
        <v>819</v>
      </c>
      <c r="K95">
        <v>4.7699999999999996</v>
      </c>
      <c r="L95">
        <f>IF(rawdata!$A95="Strip_Mall", 1, 0)</f>
        <v>1</v>
      </c>
      <c r="M95">
        <f>IF(rawdata!$A95="Mall", 1, 0)</f>
        <v>0</v>
      </c>
      <c r="N95">
        <f>IF(rawdata!$A95="Downtown", 1, 0)</f>
        <v>0</v>
      </c>
      <c r="O95">
        <f>IF(rawdata!$B95="Asian", 1, 0)</f>
        <v>0</v>
      </c>
      <c r="P95">
        <f>IF(rawdata!$B95="American", 1, 0)</f>
        <v>1</v>
      </c>
      <c r="Q95">
        <f>IF(rawdata!$B95="Italian", 1, 0)</f>
        <v>0</v>
      </c>
      <c r="R95">
        <f>IF(rawdata!$B95="Mexican", 1, 0)</f>
        <v>0</v>
      </c>
      <c r="S95">
        <f>IF(rawdata!$C95="Small", 1, 0)</f>
        <v>0</v>
      </c>
      <c r="T95">
        <f>IF(rawdata!$C95="Medium", 1, 0)</f>
        <v>1</v>
      </c>
      <c r="U95">
        <f>IF(rawdata!$D95="Yes", 1, 0)</f>
        <v>1</v>
      </c>
      <c r="V95">
        <f>IF(rawdata!$E95="Yes", 1, 0)</f>
        <v>1</v>
      </c>
      <c r="W95">
        <v>43542</v>
      </c>
      <c r="X95">
        <f t="shared" si="1"/>
        <v>10.681481268506191</v>
      </c>
    </row>
    <row r="96" spans="1:24" x14ac:dyDescent="0.3">
      <c r="A96" t="s">
        <v>12</v>
      </c>
      <c r="B96" t="s">
        <v>16</v>
      </c>
      <c r="C96" t="s">
        <v>23</v>
      </c>
      <c r="D96" t="s">
        <v>19</v>
      </c>
      <c r="E96" t="s">
        <v>15</v>
      </c>
      <c r="F96">
        <v>90</v>
      </c>
      <c r="G96">
        <v>25.61</v>
      </c>
      <c r="H96">
        <v>0.5</v>
      </c>
      <c r="I96">
        <v>24</v>
      </c>
      <c r="J96">
        <v>14213</v>
      </c>
      <c r="K96">
        <v>4.78</v>
      </c>
      <c r="L96">
        <f>IF(rawdata!$A96="Strip_Mall", 1, 0)</f>
        <v>1</v>
      </c>
      <c r="M96">
        <f>IF(rawdata!$A96="Mall", 1, 0)</f>
        <v>0</v>
      </c>
      <c r="N96">
        <f>IF(rawdata!$A96="Downtown", 1, 0)</f>
        <v>0</v>
      </c>
      <c r="O96">
        <f>IF(rawdata!$B96="Asian", 1, 0)</f>
        <v>0</v>
      </c>
      <c r="P96">
        <f>IF(rawdata!$B96="American", 1, 0)</f>
        <v>1</v>
      </c>
      <c r="Q96">
        <f>IF(rawdata!$B96="Italian", 1, 0)</f>
        <v>0</v>
      </c>
      <c r="R96">
        <f>IF(rawdata!$B96="Mexican", 1, 0)</f>
        <v>0</v>
      </c>
      <c r="S96">
        <f>IF(rawdata!$C96="Small", 1, 0)</f>
        <v>0</v>
      </c>
      <c r="T96">
        <f>IF(rawdata!$C96="Medium", 1, 0)</f>
        <v>1</v>
      </c>
      <c r="U96">
        <f>IF(rawdata!$D96="Yes", 1, 0)</f>
        <v>0</v>
      </c>
      <c r="V96">
        <f>IF(rawdata!$E96="Yes", 1, 0)</f>
        <v>1</v>
      </c>
      <c r="W96">
        <v>78801</v>
      </c>
      <c r="X96">
        <f t="shared" si="1"/>
        <v>11.274680966120778</v>
      </c>
    </row>
    <row r="97" spans="1:24" x14ac:dyDescent="0.3">
      <c r="A97" t="s">
        <v>21</v>
      </c>
      <c r="B97" t="s">
        <v>16</v>
      </c>
      <c r="C97" t="s">
        <v>23</v>
      </c>
      <c r="D97" t="s">
        <v>15</v>
      </c>
      <c r="E97" t="s">
        <v>15</v>
      </c>
      <c r="F97">
        <v>82</v>
      </c>
      <c r="G97">
        <v>13.32</v>
      </c>
      <c r="H97">
        <v>5.7</v>
      </c>
      <c r="I97">
        <v>20</v>
      </c>
      <c r="J97">
        <v>14524</v>
      </c>
      <c r="K97">
        <v>4.8499999999999996</v>
      </c>
      <c r="L97">
        <f>IF(rawdata!$A97="Strip_Mall", 1, 0)</f>
        <v>0</v>
      </c>
      <c r="M97">
        <f>IF(rawdata!$A97="Mall", 1, 0)</f>
        <v>1</v>
      </c>
      <c r="N97">
        <f>IF(rawdata!$A97="Downtown", 1, 0)</f>
        <v>0</v>
      </c>
      <c r="O97">
        <f>IF(rawdata!$B97="Asian", 1, 0)</f>
        <v>0</v>
      </c>
      <c r="P97">
        <f>IF(rawdata!$B97="American", 1, 0)</f>
        <v>1</v>
      </c>
      <c r="Q97">
        <f>IF(rawdata!$B97="Italian", 1, 0)</f>
        <v>0</v>
      </c>
      <c r="R97">
        <f>IF(rawdata!$B97="Mexican", 1, 0)</f>
        <v>0</v>
      </c>
      <c r="S97">
        <f>IF(rawdata!$C97="Small", 1, 0)</f>
        <v>0</v>
      </c>
      <c r="T97">
        <f>IF(rawdata!$C97="Medium", 1, 0)</f>
        <v>1</v>
      </c>
      <c r="U97">
        <f>IF(rawdata!$D97="Yes", 1, 0)</f>
        <v>1</v>
      </c>
      <c r="V97">
        <f>IF(rawdata!$E97="Yes", 1, 0)</f>
        <v>1</v>
      </c>
      <c r="W97">
        <v>124573</v>
      </c>
      <c r="X97">
        <f t="shared" si="1"/>
        <v>11.732647168435138</v>
      </c>
    </row>
    <row r="98" spans="1:24" x14ac:dyDescent="0.3">
      <c r="A98" t="s">
        <v>18</v>
      </c>
      <c r="B98" t="s">
        <v>13</v>
      </c>
      <c r="C98" t="s">
        <v>17</v>
      </c>
      <c r="D98" t="s">
        <v>19</v>
      </c>
      <c r="E98" t="s">
        <v>19</v>
      </c>
      <c r="F98">
        <v>104</v>
      </c>
      <c r="G98">
        <v>20.57</v>
      </c>
      <c r="H98">
        <v>2</v>
      </c>
      <c r="I98">
        <v>19</v>
      </c>
      <c r="J98">
        <v>6317</v>
      </c>
      <c r="K98">
        <v>4.63</v>
      </c>
      <c r="L98">
        <f>IF(rawdata!$A98="Strip_Mall", 1, 0)</f>
        <v>0</v>
      </c>
      <c r="M98">
        <f>IF(rawdata!$A98="Mall", 1, 0)</f>
        <v>0</v>
      </c>
      <c r="N98">
        <f>IF(rawdata!$A98="Downtown", 1, 0)</f>
        <v>0</v>
      </c>
      <c r="O98">
        <f>IF(rawdata!$B98="Asian", 1, 0)</f>
        <v>1</v>
      </c>
      <c r="P98">
        <f>IF(rawdata!$B98="American", 1, 0)</f>
        <v>0</v>
      </c>
      <c r="Q98">
        <f>IF(rawdata!$B98="Italian", 1, 0)</f>
        <v>0</v>
      </c>
      <c r="R98">
        <f>IF(rawdata!$B98="Mexican", 1, 0)</f>
        <v>0</v>
      </c>
      <c r="S98">
        <f>IF(rawdata!$C98="Small", 1, 0)</f>
        <v>1</v>
      </c>
      <c r="T98">
        <f>IF(rawdata!$C98="Medium", 1, 0)</f>
        <v>0</v>
      </c>
      <c r="U98">
        <f>IF(rawdata!$D98="Yes", 1, 0)</f>
        <v>0</v>
      </c>
      <c r="V98">
        <f>IF(rawdata!$E98="Yes", 1, 0)</f>
        <v>0</v>
      </c>
      <c r="W98">
        <v>42396</v>
      </c>
      <c r="X98">
        <f t="shared" si="1"/>
        <v>10.654809297147146</v>
      </c>
    </row>
    <row r="99" spans="1:24" x14ac:dyDescent="0.3">
      <c r="A99" t="s">
        <v>24</v>
      </c>
      <c r="B99" t="s">
        <v>16</v>
      </c>
      <c r="C99" t="s">
        <v>17</v>
      </c>
      <c r="D99" t="s">
        <v>19</v>
      </c>
      <c r="E99" t="s">
        <v>15</v>
      </c>
      <c r="F99">
        <v>33</v>
      </c>
      <c r="G99">
        <v>15.6</v>
      </c>
      <c r="H99">
        <v>0.8</v>
      </c>
      <c r="I99">
        <v>15</v>
      </c>
      <c r="J99">
        <v>888</v>
      </c>
      <c r="K99">
        <v>4.8099999999999996</v>
      </c>
      <c r="L99">
        <f>IF(rawdata!$A99="Strip_Mall", 1, 0)</f>
        <v>0</v>
      </c>
      <c r="M99">
        <f>IF(rawdata!$A99="Mall", 1, 0)</f>
        <v>0</v>
      </c>
      <c r="N99">
        <f>IF(rawdata!$A99="Downtown", 1, 0)</f>
        <v>1</v>
      </c>
      <c r="O99">
        <f>IF(rawdata!$B99="Asian", 1, 0)</f>
        <v>0</v>
      </c>
      <c r="P99">
        <f>IF(rawdata!$B99="American", 1, 0)</f>
        <v>1</v>
      </c>
      <c r="Q99">
        <f>IF(rawdata!$B99="Italian", 1, 0)</f>
        <v>0</v>
      </c>
      <c r="R99">
        <f>IF(rawdata!$B99="Mexican", 1, 0)</f>
        <v>0</v>
      </c>
      <c r="S99">
        <f>IF(rawdata!$C99="Small", 1, 0)</f>
        <v>1</v>
      </c>
      <c r="T99">
        <f>IF(rawdata!$C99="Medium", 1, 0)</f>
        <v>0</v>
      </c>
      <c r="U99">
        <f>IF(rawdata!$D99="Yes", 1, 0)</f>
        <v>0</v>
      </c>
      <c r="V99">
        <f>IF(rawdata!$E99="Yes", 1, 0)</f>
        <v>1</v>
      </c>
      <c r="W99">
        <v>45534</v>
      </c>
      <c r="X99">
        <f t="shared" si="1"/>
        <v>10.726214578631968</v>
      </c>
    </row>
    <row r="100" spans="1:24" x14ac:dyDescent="0.3">
      <c r="A100" t="s">
        <v>21</v>
      </c>
      <c r="B100" t="s">
        <v>25</v>
      </c>
      <c r="C100" t="s">
        <v>23</v>
      </c>
      <c r="D100" t="s">
        <v>15</v>
      </c>
      <c r="E100" t="s">
        <v>15</v>
      </c>
      <c r="F100">
        <v>77</v>
      </c>
      <c r="G100">
        <v>15.77</v>
      </c>
      <c r="H100">
        <v>1.2</v>
      </c>
      <c r="I100">
        <v>17</v>
      </c>
      <c r="J100">
        <v>3209</v>
      </c>
      <c r="K100">
        <v>4.1100000000000003</v>
      </c>
      <c r="L100">
        <f>IF(rawdata!$A100="Strip_Mall", 1, 0)</f>
        <v>0</v>
      </c>
      <c r="M100">
        <f>IF(rawdata!$A100="Mall", 1, 0)</f>
        <v>1</v>
      </c>
      <c r="N100">
        <f>IF(rawdata!$A100="Downtown", 1, 0)</f>
        <v>0</v>
      </c>
      <c r="O100">
        <f>IF(rawdata!$B100="Asian", 1, 0)</f>
        <v>0</v>
      </c>
      <c r="P100">
        <f>IF(rawdata!$B100="American", 1, 0)</f>
        <v>0</v>
      </c>
      <c r="Q100">
        <f>IF(rawdata!$B100="Italian", 1, 0)</f>
        <v>0</v>
      </c>
      <c r="R100">
        <f>IF(rawdata!$B100="Mexican", 1, 0)</f>
        <v>0</v>
      </c>
      <c r="S100">
        <f>IF(rawdata!$C100="Small", 1, 0)</f>
        <v>0</v>
      </c>
      <c r="T100">
        <f>IF(rawdata!$C100="Medium", 1, 0)</f>
        <v>1</v>
      </c>
      <c r="U100">
        <f>IF(rawdata!$D100="Yes", 1, 0)</f>
        <v>1</v>
      </c>
      <c r="V100">
        <f>IF(rawdata!$E100="Yes", 1, 0)</f>
        <v>1</v>
      </c>
      <c r="W100">
        <v>105065</v>
      </c>
      <c r="X100">
        <f t="shared" si="1"/>
        <v>11.562334485227771</v>
      </c>
    </row>
    <row r="101" spans="1:24" x14ac:dyDescent="0.3">
      <c r="A101" t="s">
        <v>21</v>
      </c>
      <c r="B101" t="s">
        <v>25</v>
      </c>
      <c r="C101" t="s">
        <v>23</v>
      </c>
      <c r="D101" t="s">
        <v>15</v>
      </c>
      <c r="E101" t="s">
        <v>15</v>
      </c>
      <c r="F101">
        <v>109</v>
      </c>
      <c r="G101">
        <v>22.37</v>
      </c>
      <c r="H101">
        <v>0.6</v>
      </c>
      <c r="I101">
        <v>26</v>
      </c>
      <c r="J101">
        <v>613</v>
      </c>
      <c r="K101">
        <v>4.54</v>
      </c>
      <c r="L101">
        <f>IF(rawdata!$A101="Strip_Mall", 1, 0)</f>
        <v>0</v>
      </c>
      <c r="M101">
        <f>IF(rawdata!$A101="Mall", 1, 0)</f>
        <v>1</v>
      </c>
      <c r="N101">
        <f>IF(rawdata!$A101="Downtown", 1, 0)</f>
        <v>0</v>
      </c>
      <c r="O101">
        <f>IF(rawdata!$B101="Asian", 1, 0)</f>
        <v>0</v>
      </c>
      <c r="P101">
        <f>IF(rawdata!$B101="American", 1, 0)</f>
        <v>0</v>
      </c>
      <c r="Q101">
        <f>IF(rawdata!$B101="Italian", 1, 0)</f>
        <v>0</v>
      </c>
      <c r="R101">
        <f>IF(rawdata!$B101="Mexican", 1, 0)</f>
        <v>0</v>
      </c>
      <c r="S101">
        <f>IF(rawdata!$C101="Small", 1, 0)</f>
        <v>0</v>
      </c>
      <c r="T101">
        <f>IF(rawdata!$C101="Medium", 1, 0)</f>
        <v>1</v>
      </c>
      <c r="U101">
        <f>IF(rawdata!$D101="Yes", 1, 0)</f>
        <v>1</v>
      </c>
      <c r="V101">
        <f>IF(rawdata!$E101="Yes", 1, 0)</f>
        <v>1</v>
      </c>
      <c r="W101">
        <v>104830</v>
      </c>
      <c r="X101">
        <f t="shared" si="1"/>
        <v>11.560095269446618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1180-23E5-4E8F-BC4B-516457444A9E}">
  <dimension ref="A1:AM29"/>
  <sheetViews>
    <sheetView zoomScale="55" zoomScaleNormal="55" workbookViewId="0">
      <selection activeCell="Y29" sqref="Y29"/>
    </sheetView>
  </sheetViews>
  <sheetFormatPr defaultRowHeight="14.4" x14ac:dyDescent="0.3"/>
  <cols>
    <col min="2" max="2" width="12.44140625" bestFit="1" customWidth="1"/>
    <col min="3" max="3" width="22" bestFit="1" customWidth="1"/>
    <col min="4" max="4" width="8.21875" bestFit="1" customWidth="1"/>
    <col min="5" max="5" width="9.44140625" bestFit="1" customWidth="1"/>
    <col min="6" max="6" width="9" bestFit="1" customWidth="1"/>
    <col min="7" max="7" width="10.5546875" bestFit="1" customWidth="1"/>
    <col min="10" max="10" width="12.44140625" bestFit="1" customWidth="1"/>
    <col min="11" max="11" width="21.44140625" bestFit="1" customWidth="1"/>
    <col min="26" max="26" width="13.77734375" bestFit="1" customWidth="1"/>
    <col min="27" max="27" width="22.33203125" bestFit="1" customWidth="1"/>
    <col min="35" max="35" width="19.21875" bestFit="1" customWidth="1"/>
    <col min="36" max="36" width="30.5546875" bestFit="1" customWidth="1"/>
    <col min="38" max="38" width="19.33203125" bestFit="1" customWidth="1"/>
    <col min="39" max="39" width="30.44140625" bestFit="1" customWidth="1"/>
  </cols>
  <sheetData>
    <row r="1" spans="1:39" ht="14.4" customHeight="1" x14ac:dyDescent="0.3">
      <c r="A1" s="14" t="s">
        <v>90</v>
      </c>
      <c r="B1" s="14"/>
      <c r="C1" s="14"/>
      <c r="D1" s="14"/>
      <c r="E1" s="14"/>
      <c r="F1" s="14"/>
      <c r="G1" s="14"/>
      <c r="H1" s="14"/>
      <c r="I1" s="14"/>
      <c r="J1" s="14"/>
      <c r="K1" s="14"/>
      <c r="L1" s="14"/>
      <c r="M1" s="14"/>
      <c r="N1" s="14"/>
      <c r="O1" s="14"/>
      <c r="P1" s="14"/>
      <c r="Q1" s="14"/>
      <c r="R1" s="14"/>
      <c r="S1" s="14"/>
      <c r="T1" s="14"/>
      <c r="U1" s="14"/>
      <c r="V1" s="14"/>
      <c r="W1" s="14"/>
      <c r="X1" s="14"/>
    </row>
    <row r="2" spans="1:39" ht="14.4" customHeight="1" x14ac:dyDescent="0.3">
      <c r="A2" s="14"/>
      <c r="B2" s="14"/>
      <c r="C2" s="14"/>
      <c r="D2" s="14"/>
      <c r="E2" s="14"/>
      <c r="F2" s="14"/>
      <c r="G2" s="14"/>
      <c r="H2" s="14"/>
      <c r="I2" s="14"/>
      <c r="J2" s="14"/>
      <c r="K2" s="14"/>
      <c r="L2" s="14"/>
      <c r="M2" s="14"/>
      <c r="N2" s="14"/>
      <c r="O2" s="14"/>
      <c r="P2" s="14"/>
      <c r="Q2" s="14"/>
      <c r="R2" s="14"/>
      <c r="S2" s="14"/>
      <c r="T2" s="14"/>
      <c r="U2" s="14"/>
      <c r="V2" s="14"/>
      <c r="W2" s="14"/>
      <c r="X2" s="14"/>
    </row>
    <row r="3" spans="1:39" ht="14.4" customHeight="1" x14ac:dyDescent="0.3">
      <c r="A3" s="14"/>
      <c r="B3" s="14"/>
      <c r="C3" s="14"/>
      <c r="D3" s="14"/>
      <c r="E3" s="14"/>
      <c r="F3" s="14"/>
      <c r="G3" s="14"/>
      <c r="H3" s="14"/>
      <c r="I3" s="14"/>
      <c r="J3" s="14"/>
      <c r="K3" s="14"/>
      <c r="L3" s="14"/>
      <c r="M3" s="14"/>
      <c r="N3" s="14"/>
      <c r="O3" s="14"/>
      <c r="P3" s="14"/>
      <c r="Q3" s="14"/>
      <c r="R3" s="14"/>
      <c r="S3" s="14"/>
      <c r="T3" s="14"/>
      <c r="U3" s="14"/>
      <c r="V3" s="14"/>
      <c r="W3" s="14"/>
      <c r="X3" s="14"/>
    </row>
    <row r="4" spans="1:39" ht="14.4" customHeight="1" x14ac:dyDescent="0.3">
      <c r="A4" s="14"/>
      <c r="B4" s="14"/>
      <c r="C4" s="14"/>
      <c r="D4" s="14"/>
      <c r="E4" s="14"/>
      <c r="F4" s="14"/>
      <c r="G4" s="14"/>
      <c r="H4" s="14"/>
      <c r="I4" s="14"/>
      <c r="J4" s="14"/>
      <c r="K4" s="14"/>
      <c r="L4" s="14"/>
      <c r="M4" s="14"/>
      <c r="N4" s="14"/>
      <c r="O4" s="14"/>
      <c r="P4" s="14"/>
      <c r="Q4" s="14"/>
      <c r="R4" s="14"/>
      <c r="S4" s="14"/>
      <c r="T4" s="14"/>
      <c r="U4" s="14"/>
      <c r="V4" s="14"/>
      <c r="W4" s="14"/>
      <c r="X4" s="14"/>
    </row>
    <row r="5" spans="1:39" ht="14.4" customHeight="1" x14ac:dyDescent="0.3">
      <c r="A5" s="14"/>
      <c r="B5" s="14"/>
      <c r="C5" s="14"/>
      <c r="D5" s="14"/>
      <c r="E5" s="14"/>
      <c r="F5" s="14"/>
      <c r="G5" s="14"/>
      <c r="H5" s="14"/>
      <c r="I5" s="14"/>
      <c r="J5" s="14"/>
      <c r="K5" s="14"/>
      <c r="L5" s="14"/>
      <c r="M5" s="14"/>
      <c r="N5" s="14"/>
      <c r="O5" s="14"/>
      <c r="P5" s="14"/>
      <c r="Q5" s="14"/>
      <c r="R5" s="14"/>
      <c r="S5" s="14"/>
      <c r="T5" s="14"/>
      <c r="U5" s="14"/>
      <c r="V5" s="14"/>
      <c r="W5" s="14"/>
      <c r="X5" s="14"/>
    </row>
    <row r="12" spans="1:39" x14ac:dyDescent="0.3">
      <c r="AL12" s="4" t="s">
        <v>116</v>
      </c>
    </row>
    <row r="13" spans="1:39" x14ac:dyDescent="0.3">
      <c r="AL13" s="11" t="s">
        <v>92</v>
      </c>
      <c r="AM13" t="s">
        <v>91</v>
      </c>
    </row>
    <row r="14" spans="1:39" x14ac:dyDescent="0.3">
      <c r="AL14" s="4" t="s">
        <v>12</v>
      </c>
      <c r="AM14" s="15">
        <v>1283916</v>
      </c>
    </row>
    <row r="15" spans="1:39" x14ac:dyDescent="0.3">
      <c r="AL15" s="12" t="s">
        <v>22</v>
      </c>
      <c r="AM15" s="15">
        <v>29283</v>
      </c>
    </row>
    <row r="16" spans="1:39" x14ac:dyDescent="0.3">
      <c r="AL16" s="12" t="s">
        <v>20</v>
      </c>
      <c r="AM16" s="15">
        <v>197751</v>
      </c>
    </row>
    <row r="17" spans="25:39" x14ac:dyDescent="0.3">
      <c r="AL17" s="12" t="s">
        <v>16</v>
      </c>
      <c r="AM17" s="15">
        <v>259525</v>
      </c>
    </row>
    <row r="18" spans="25:39" x14ac:dyDescent="0.3">
      <c r="AL18" s="12" t="s">
        <v>25</v>
      </c>
      <c r="AM18" s="15">
        <v>276240</v>
      </c>
    </row>
    <row r="19" spans="25:39" x14ac:dyDescent="0.3">
      <c r="AL19" s="12" t="s">
        <v>13</v>
      </c>
      <c r="AM19" s="15">
        <v>521117</v>
      </c>
    </row>
    <row r="20" spans="25:39" x14ac:dyDescent="0.3">
      <c r="AL20" s="4" t="s">
        <v>93</v>
      </c>
      <c r="AM20" s="15">
        <v>1283916</v>
      </c>
    </row>
    <row r="29" spans="25:39" x14ac:dyDescent="0.3">
      <c r="Y29" t="s">
        <v>117</v>
      </c>
    </row>
  </sheetData>
  <mergeCells count="1">
    <mergeCell ref="A1:X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8967-5E6A-498C-A242-FB67B8D7901F}">
  <dimension ref="A1:L169"/>
  <sheetViews>
    <sheetView topLeftCell="A50" zoomScale="70" zoomScaleNormal="70" workbookViewId="0">
      <selection activeCell="H68" sqref="H68"/>
    </sheetView>
  </sheetViews>
  <sheetFormatPr defaultRowHeight="14.4" x14ac:dyDescent="0.3"/>
  <cols>
    <col min="1" max="1" width="17.21875" customWidth="1"/>
    <col min="2" max="2" width="23.88671875" customWidth="1"/>
    <col min="3" max="3" width="16.109375" bestFit="1" customWidth="1"/>
    <col min="4" max="4" width="18.21875" customWidth="1"/>
    <col min="5" max="5" width="22.109375" customWidth="1"/>
    <col min="6" max="6" width="15.44140625" bestFit="1" customWidth="1"/>
    <col min="7" max="7" width="16.109375" bestFit="1" customWidth="1"/>
    <col min="8" max="8" width="15.33203125" bestFit="1" customWidth="1"/>
    <col min="9" max="9" width="16.109375" bestFit="1" customWidth="1"/>
    <col min="10" max="10" width="12" bestFit="1" customWidth="1"/>
    <col min="11" max="11" width="16.5546875" customWidth="1"/>
    <col min="12" max="12" width="12.6640625" bestFit="1" customWidth="1"/>
  </cols>
  <sheetData>
    <row r="1" spans="1:12" ht="21" x14ac:dyDescent="0.4">
      <c r="A1" s="10" t="s">
        <v>95</v>
      </c>
      <c r="B1" s="13" t="s">
        <v>96</v>
      </c>
    </row>
    <row r="2" spans="1:12" ht="15" thickBot="1" x14ac:dyDescent="0.35"/>
    <row r="3" spans="1:12" x14ac:dyDescent="0.3">
      <c r="A3" s="3" t="s">
        <v>6</v>
      </c>
      <c r="B3" s="3"/>
      <c r="C3" s="3" t="s">
        <v>7</v>
      </c>
      <c r="D3" s="3"/>
      <c r="E3" s="3" t="s">
        <v>8</v>
      </c>
      <c r="F3" s="3"/>
      <c r="G3" s="3" t="s">
        <v>9</v>
      </c>
      <c r="H3" s="3"/>
      <c r="I3" s="3" t="s">
        <v>10</v>
      </c>
      <c r="J3" s="3"/>
      <c r="K3" s="3" t="s">
        <v>11</v>
      </c>
      <c r="L3" s="3"/>
    </row>
    <row r="4" spans="1:12" x14ac:dyDescent="0.3">
      <c r="A4" s="4"/>
      <c r="B4" s="4"/>
      <c r="C4" s="4"/>
      <c r="D4" s="4"/>
      <c r="E4" s="4"/>
      <c r="F4" s="4"/>
      <c r="G4" s="4"/>
      <c r="H4" s="4"/>
      <c r="I4" s="4"/>
      <c r="J4" s="4"/>
      <c r="K4" s="4"/>
      <c r="L4" s="4"/>
    </row>
    <row r="5" spans="1:12" x14ac:dyDescent="0.3">
      <c r="A5" s="4" t="s">
        <v>26</v>
      </c>
      <c r="B5" s="4">
        <v>74.010000000000005</v>
      </c>
      <c r="C5" s="4" t="s">
        <v>26</v>
      </c>
      <c r="D5" s="4">
        <v>18.366899999999994</v>
      </c>
      <c r="E5" s="4" t="s">
        <v>26</v>
      </c>
      <c r="F5" s="4">
        <v>5.3749999999999991</v>
      </c>
      <c r="G5" s="4" t="s">
        <v>26</v>
      </c>
      <c r="H5" s="4">
        <v>19.79</v>
      </c>
      <c r="I5" s="4" t="s">
        <v>26</v>
      </c>
      <c r="J5" s="4">
        <v>4458.7</v>
      </c>
      <c r="K5" s="4" t="s">
        <v>26</v>
      </c>
      <c r="L5" s="4">
        <v>4.2278999999999991</v>
      </c>
    </row>
    <row r="6" spans="1:12" x14ac:dyDescent="0.3">
      <c r="A6" s="4" t="s">
        <v>27</v>
      </c>
      <c r="B6" s="4">
        <v>2.2920369397837663</v>
      </c>
      <c r="C6" s="4" t="s">
        <v>27</v>
      </c>
      <c r="D6" s="4">
        <v>0.7237698961170288</v>
      </c>
      <c r="E6" s="4" t="s">
        <v>27</v>
      </c>
      <c r="F6" s="4">
        <v>0.52369390203658384</v>
      </c>
      <c r="G6" s="4" t="s">
        <v>27</v>
      </c>
      <c r="H6" s="4">
        <v>0.39473683856104863</v>
      </c>
      <c r="I6" s="4" t="s">
        <v>27</v>
      </c>
      <c r="J6" s="4">
        <v>425.90035243237378</v>
      </c>
      <c r="K6" s="4" t="s">
        <v>27</v>
      </c>
      <c r="L6" s="4">
        <v>5.3051774787285788E-2</v>
      </c>
    </row>
    <row r="7" spans="1:12" x14ac:dyDescent="0.3">
      <c r="A7" s="4" t="s">
        <v>28</v>
      </c>
      <c r="B7" s="4">
        <v>75.5</v>
      </c>
      <c r="C7" s="4" t="s">
        <v>28</v>
      </c>
      <c r="D7" s="4">
        <v>16.555</v>
      </c>
      <c r="E7" s="4" t="s">
        <v>28</v>
      </c>
      <c r="F7" s="4">
        <v>3.6</v>
      </c>
      <c r="G7" s="4" t="s">
        <v>28</v>
      </c>
      <c r="H7" s="4">
        <v>20</v>
      </c>
      <c r="I7" s="4" t="s">
        <v>28</v>
      </c>
      <c r="J7" s="4">
        <v>2753.5</v>
      </c>
      <c r="K7" s="4" t="s">
        <v>28</v>
      </c>
      <c r="L7" s="4">
        <v>4.3600000000000003</v>
      </c>
    </row>
    <row r="8" spans="1:12" x14ac:dyDescent="0.3">
      <c r="A8" s="4" t="s">
        <v>29</v>
      </c>
      <c r="B8" s="4">
        <v>76</v>
      </c>
      <c r="C8" s="4" t="s">
        <v>29</v>
      </c>
      <c r="D8" s="4">
        <v>8</v>
      </c>
      <c r="E8" s="4" t="s">
        <v>29</v>
      </c>
      <c r="F8" s="4">
        <v>0.5</v>
      </c>
      <c r="G8" s="4" t="s">
        <v>29</v>
      </c>
      <c r="H8" s="4">
        <v>20</v>
      </c>
      <c r="I8" s="4" t="s">
        <v>29</v>
      </c>
      <c r="J8" s="4">
        <v>500</v>
      </c>
      <c r="K8" s="4" t="s">
        <v>29</v>
      </c>
      <c r="L8" s="4">
        <v>4.1100000000000003</v>
      </c>
    </row>
    <row r="9" spans="1:12" x14ac:dyDescent="0.3">
      <c r="A9" s="4" t="s">
        <v>30</v>
      </c>
      <c r="B9" s="4">
        <v>22.920369397837664</v>
      </c>
      <c r="C9" s="4" t="s">
        <v>30</v>
      </c>
      <c r="D9" s="4">
        <v>7.2376989611702882</v>
      </c>
      <c r="E9" s="4" t="s">
        <v>30</v>
      </c>
      <c r="F9" s="4">
        <v>5.2369390203658384</v>
      </c>
      <c r="G9" s="4" t="s">
        <v>30</v>
      </c>
      <c r="H9" s="4">
        <v>3.9473683856104862</v>
      </c>
      <c r="I9" s="4" t="s">
        <v>30</v>
      </c>
      <c r="J9" s="4">
        <v>4259.003524323738</v>
      </c>
      <c r="K9" s="4" t="s">
        <v>30</v>
      </c>
      <c r="L9" s="4">
        <v>0.53051774787285788</v>
      </c>
    </row>
    <row r="10" spans="1:12" x14ac:dyDescent="0.3">
      <c r="A10" s="4" t="s">
        <v>31</v>
      </c>
      <c r="B10" s="4">
        <v>525.34333333333325</v>
      </c>
      <c r="C10" s="4" t="s">
        <v>31</v>
      </c>
      <c r="D10" s="4">
        <v>52.38428625252547</v>
      </c>
      <c r="E10" s="4" t="s">
        <v>31</v>
      </c>
      <c r="F10" s="4">
        <v>27.425530303030303</v>
      </c>
      <c r="G10" s="4" t="s">
        <v>31</v>
      </c>
      <c r="H10" s="4">
        <v>15.581717171717136</v>
      </c>
      <c r="I10" s="4" t="s">
        <v>31</v>
      </c>
      <c r="J10" s="4">
        <v>18139111.020202022</v>
      </c>
      <c r="K10" s="4" t="s">
        <v>31</v>
      </c>
      <c r="L10" s="4">
        <v>0.28144908080808917</v>
      </c>
    </row>
    <row r="11" spans="1:12" x14ac:dyDescent="0.3">
      <c r="A11" s="4" t="s">
        <v>32</v>
      </c>
      <c r="B11" s="4">
        <v>-2.7891927506001224E-2</v>
      </c>
      <c r="C11" s="4" t="s">
        <v>32</v>
      </c>
      <c r="D11" s="4">
        <v>-0.59125634479024347</v>
      </c>
      <c r="E11" s="4" t="s">
        <v>32</v>
      </c>
      <c r="F11" s="4">
        <v>2.2843806112048388</v>
      </c>
      <c r="G11" s="4" t="s">
        <v>32</v>
      </c>
      <c r="H11" s="4">
        <v>0.11146248345489029</v>
      </c>
      <c r="I11" s="4" t="s">
        <v>32</v>
      </c>
      <c r="J11" s="4">
        <v>0.73627931010939029</v>
      </c>
      <c r="K11" s="4" t="s">
        <v>32</v>
      </c>
      <c r="L11" s="4">
        <v>-0.23904427333350897</v>
      </c>
    </row>
    <row r="12" spans="1:12" x14ac:dyDescent="0.3">
      <c r="A12" s="4" t="s">
        <v>33</v>
      </c>
      <c r="B12" s="4">
        <v>2.0601127073635029E-2</v>
      </c>
      <c r="C12" s="4" t="s">
        <v>33</v>
      </c>
      <c r="D12" s="4">
        <v>0.47511096221340648</v>
      </c>
      <c r="E12" s="4" t="s">
        <v>33</v>
      </c>
      <c r="F12" s="4">
        <v>1.5036990079245358</v>
      </c>
      <c r="G12" s="4" t="s">
        <v>33</v>
      </c>
      <c r="H12" s="4">
        <v>0.21881565139392167</v>
      </c>
      <c r="I12" s="4" t="s">
        <v>33</v>
      </c>
      <c r="J12" s="4">
        <v>1.3691908717284462</v>
      </c>
      <c r="K12" s="4" t="s">
        <v>33</v>
      </c>
      <c r="L12" s="4">
        <v>-0.7319646611994467</v>
      </c>
    </row>
    <row r="13" spans="1:12" x14ac:dyDescent="0.3">
      <c r="A13" s="4" t="s">
        <v>34</v>
      </c>
      <c r="B13" s="4">
        <v>116</v>
      </c>
      <c r="C13" s="4" t="s">
        <v>34</v>
      </c>
      <c r="D13" s="4">
        <v>29.380000000000003</v>
      </c>
      <c r="E13" s="4" t="s">
        <v>34</v>
      </c>
      <c r="F13" s="4">
        <v>24.5</v>
      </c>
      <c r="G13" s="4" t="s">
        <v>34</v>
      </c>
      <c r="H13" s="4">
        <v>20</v>
      </c>
      <c r="I13" s="4" t="s">
        <v>34</v>
      </c>
      <c r="J13" s="4">
        <v>14500</v>
      </c>
      <c r="K13" s="4" t="s">
        <v>34</v>
      </c>
      <c r="L13" s="4">
        <v>2.3099999999999996</v>
      </c>
    </row>
    <row r="14" spans="1:12" x14ac:dyDescent="0.3">
      <c r="A14" s="4" t="s">
        <v>35</v>
      </c>
      <c r="B14" s="4">
        <v>20</v>
      </c>
      <c r="C14" s="4" t="s">
        <v>35</v>
      </c>
      <c r="D14" s="4">
        <v>8</v>
      </c>
      <c r="E14" s="4" t="s">
        <v>35</v>
      </c>
      <c r="F14" s="4">
        <v>0.5</v>
      </c>
      <c r="G14" s="4" t="s">
        <v>35</v>
      </c>
      <c r="H14" s="4">
        <v>10</v>
      </c>
      <c r="I14" s="4" t="s">
        <v>35</v>
      </c>
      <c r="J14" s="4">
        <v>500</v>
      </c>
      <c r="K14" s="4" t="s">
        <v>35</v>
      </c>
      <c r="L14" s="4">
        <v>2.66</v>
      </c>
    </row>
    <row r="15" spans="1:12" x14ac:dyDescent="0.3">
      <c r="A15" s="4" t="s">
        <v>36</v>
      </c>
      <c r="B15" s="4">
        <v>136</v>
      </c>
      <c r="C15" s="4" t="s">
        <v>36</v>
      </c>
      <c r="D15" s="4">
        <v>37.380000000000003</v>
      </c>
      <c r="E15" s="4" t="s">
        <v>36</v>
      </c>
      <c r="F15" s="4">
        <v>25</v>
      </c>
      <c r="G15" s="4" t="s">
        <v>36</v>
      </c>
      <c r="H15" s="4">
        <v>30</v>
      </c>
      <c r="I15" s="4" t="s">
        <v>36</v>
      </c>
      <c r="J15" s="4">
        <v>15000</v>
      </c>
      <c r="K15" s="4" t="s">
        <v>36</v>
      </c>
      <c r="L15" s="4">
        <v>4.97</v>
      </c>
    </row>
    <row r="16" spans="1:12" x14ac:dyDescent="0.3">
      <c r="A16" s="4" t="s">
        <v>37</v>
      </c>
      <c r="B16" s="4">
        <v>7401</v>
      </c>
      <c r="C16" s="4" t="s">
        <v>37</v>
      </c>
      <c r="D16" s="4">
        <v>1836.6899999999994</v>
      </c>
      <c r="E16" s="4" t="s">
        <v>37</v>
      </c>
      <c r="F16" s="4">
        <v>537.49999999999989</v>
      </c>
      <c r="G16" s="4" t="s">
        <v>37</v>
      </c>
      <c r="H16" s="4">
        <v>1979</v>
      </c>
      <c r="I16" s="4" t="s">
        <v>37</v>
      </c>
      <c r="J16" s="4">
        <v>445870</v>
      </c>
      <c r="K16" s="4" t="s">
        <v>37</v>
      </c>
      <c r="L16" s="4">
        <v>422.78999999999991</v>
      </c>
    </row>
    <row r="17" spans="1:12" ht="15" thickBot="1" x14ac:dyDescent="0.35">
      <c r="A17" s="5" t="s">
        <v>38</v>
      </c>
      <c r="B17" s="5">
        <v>100</v>
      </c>
      <c r="C17" s="5" t="s">
        <v>38</v>
      </c>
      <c r="D17" s="5">
        <v>100</v>
      </c>
      <c r="E17" s="5" t="s">
        <v>38</v>
      </c>
      <c r="F17" s="5">
        <v>100</v>
      </c>
      <c r="G17" s="5" t="s">
        <v>38</v>
      </c>
      <c r="H17" s="5">
        <v>100</v>
      </c>
      <c r="I17" s="5" t="s">
        <v>38</v>
      </c>
      <c r="J17" s="5">
        <v>100</v>
      </c>
      <c r="K17" s="5" t="s">
        <v>38</v>
      </c>
      <c r="L17" s="5">
        <v>100</v>
      </c>
    </row>
    <row r="19" spans="1:12" ht="21.6" thickBot="1" x14ac:dyDescent="0.45">
      <c r="A19" s="10" t="s">
        <v>97</v>
      </c>
      <c r="B19" s="13" t="s">
        <v>98</v>
      </c>
    </row>
    <row r="20" spans="1:12" x14ac:dyDescent="0.3">
      <c r="A20" s="3" t="s">
        <v>0</v>
      </c>
      <c r="B20" s="3"/>
      <c r="C20" s="4"/>
      <c r="D20" s="4" t="s">
        <v>39</v>
      </c>
      <c r="E20" s="4" t="s">
        <v>42</v>
      </c>
      <c r="F20" s="2" t="s">
        <v>39</v>
      </c>
      <c r="G20" s="2" t="s">
        <v>41</v>
      </c>
      <c r="H20" s="2" t="s">
        <v>44</v>
      </c>
    </row>
    <row r="21" spans="1:12" x14ac:dyDescent="0.3">
      <c r="A21" s="4"/>
      <c r="B21" s="4"/>
      <c r="C21" s="4"/>
      <c r="D21" s="4">
        <v>-25000</v>
      </c>
      <c r="E21" s="4" t="str">
        <f>"Less than (or =) " &amp;D21</f>
        <v>Less than (or =) -25000</v>
      </c>
      <c r="F21">
        <v>-25000</v>
      </c>
      <c r="G21">
        <v>0</v>
      </c>
      <c r="H21" s="6">
        <f t="shared" ref="H21:H34" si="0">G21/$G$36</f>
        <v>0</v>
      </c>
    </row>
    <row r="22" spans="1:12" x14ac:dyDescent="0.3">
      <c r="A22" s="4" t="s">
        <v>26</v>
      </c>
      <c r="B22" s="4">
        <v>78696.820000000007</v>
      </c>
      <c r="C22" s="4"/>
      <c r="D22" s="4">
        <v>0</v>
      </c>
      <c r="E22" s="4" t="str">
        <f t="shared" ref="E22:E33" si="1">"Over "&amp;D21&amp;" to " &amp; D22</f>
        <v>Over -25000 to 0</v>
      </c>
      <c r="F22">
        <v>0</v>
      </c>
      <c r="G22">
        <v>0</v>
      </c>
      <c r="H22" s="6">
        <f t="shared" si="0"/>
        <v>0</v>
      </c>
    </row>
    <row r="23" spans="1:12" x14ac:dyDescent="0.3">
      <c r="A23" s="4" t="s">
        <v>27</v>
      </c>
      <c r="B23" s="4">
        <v>4002.4506439490897</v>
      </c>
      <c r="C23" s="4"/>
      <c r="D23" s="4">
        <v>25000</v>
      </c>
      <c r="E23" s="4" t="str">
        <f t="shared" si="1"/>
        <v>Over 0 to 25000</v>
      </c>
      <c r="F23">
        <v>25000</v>
      </c>
      <c r="G23">
        <v>1</v>
      </c>
      <c r="H23" s="6">
        <f t="shared" si="0"/>
        <v>0.01</v>
      </c>
    </row>
    <row r="24" spans="1:12" x14ac:dyDescent="0.3">
      <c r="A24" s="4" t="s">
        <v>28</v>
      </c>
      <c r="B24" s="4">
        <v>70985</v>
      </c>
      <c r="C24" s="4"/>
      <c r="D24" s="4">
        <v>50000</v>
      </c>
      <c r="E24" s="4" t="str">
        <f t="shared" si="1"/>
        <v>Over 25000 to 50000</v>
      </c>
      <c r="F24">
        <v>50000</v>
      </c>
      <c r="G24">
        <v>22</v>
      </c>
      <c r="H24" s="6">
        <f t="shared" si="0"/>
        <v>0.22</v>
      </c>
    </row>
    <row r="25" spans="1:12" x14ac:dyDescent="0.3">
      <c r="A25" s="4" t="s">
        <v>29</v>
      </c>
      <c r="B25" s="4" t="e">
        <v>#N/A</v>
      </c>
      <c r="C25" s="4"/>
      <c r="D25" s="4">
        <v>75000</v>
      </c>
      <c r="E25" s="4" t="str">
        <f t="shared" si="1"/>
        <v>Over 50000 to 75000</v>
      </c>
      <c r="F25">
        <v>75000</v>
      </c>
      <c r="G25">
        <v>32</v>
      </c>
      <c r="H25" s="6">
        <f t="shared" si="0"/>
        <v>0.32</v>
      </c>
    </row>
    <row r="26" spans="1:12" x14ac:dyDescent="0.3">
      <c r="A26" s="4" t="s">
        <v>30</v>
      </c>
      <c r="B26" s="4">
        <v>40024.506439490899</v>
      </c>
      <c r="C26" s="4"/>
      <c r="D26" s="4">
        <v>100000</v>
      </c>
      <c r="E26" s="4" t="str">
        <f t="shared" si="1"/>
        <v>Over 75000 to 100000</v>
      </c>
      <c r="F26">
        <v>100000</v>
      </c>
      <c r="G26">
        <v>22</v>
      </c>
      <c r="H26" s="6">
        <f t="shared" si="0"/>
        <v>0.22</v>
      </c>
    </row>
    <row r="27" spans="1:12" x14ac:dyDescent="0.3">
      <c r="A27" s="4" t="s">
        <v>31</v>
      </c>
      <c r="B27" s="4">
        <v>1601961115.7248485</v>
      </c>
      <c r="C27" s="4"/>
      <c r="D27" s="4">
        <v>125000</v>
      </c>
      <c r="E27" s="4" t="str">
        <f t="shared" si="1"/>
        <v>Over 100000 to 125000</v>
      </c>
      <c r="F27">
        <v>125000</v>
      </c>
      <c r="G27">
        <v>13</v>
      </c>
      <c r="H27" s="6">
        <f t="shared" si="0"/>
        <v>0.13</v>
      </c>
    </row>
    <row r="28" spans="1:12" x14ac:dyDescent="0.3">
      <c r="A28" s="4" t="s">
        <v>32</v>
      </c>
      <c r="B28" s="4">
        <v>4.2825092323132985</v>
      </c>
      <c r="C28" s="4"/>
      <c r="D28" s="4">
        <v>150000</v>
      </c>
      <c r="E28" s="4" t="str">
        <f t="shared" si="1"/>
        <v>Over 125000 to 150000</v>
      </c>
      <c r="F28">
        <v>150000</v>
      </c>
      <c r="G28">
        <v>6</v>
      </c>
      <c r="H28" s="6">
        <f t="shared" si="0"/>
        <v>0.06</v>
      </c>
    </row>
    <row r="29" spans="1:12" x14ac:dyDescent="0.3">
      <c r="A29" s="4" t="s">
        <v>33</v>
      </c>
      <c r="B29" s="4">
        <v>1.7122707252774891</v>
      </c>
      <c r="C29" s="4"/>
      <c r="D29" s="4">
        <v>175000</v>
      </c>
      <c r="E29" s="4" t="str">
        <f t="shared" si="1"/>
        <v>Over 150000 to 175000</v>
      </c>
      <c r="F29">
        <v>175000</v>
      </c>
      <c r="G29">
        <v>1</v>
      </c>
      <c r="H29" s="6">
        <f t="shared" si="0"/>
        <v>0.01</v>
      </c>
    </row>
    <row r="30" spans="1:12" x14ac:dyDescent="0.3">
      <c r="A30" s="4" t="s">
        <v>34</v>
      </c>
      <c r="B30" s="4">
        <v>224062</v>
      </c>
      <c r="C30" s="4"/>
      <c r="D30" s="4">
        <v>200000</v>
      </c>
      <c r="E30" s="4" t="str">
        <f t="shared" si="1"/>
        <v>Over 175000 to 200000</v>
      </c>
      <c r="F30">
        <v>200000</v>
      </c>
      <c r="G30">
        <v>1</v>
      </c>
      <c r="H30" s="6">
        <f t="shared" si="0"/>
        <v>0.01</v>
      </c>
    </row>
    <row r="31" spans="1:12" x14ac:dyDescent="0.3">
      <c r="A31" s="4" t="s">
        <v>35</v>
      </c>
      <c r="B31" s="4">
        <v>23275</v>
      </c>
      <c r="C31" s="4"/>
      <c r="D31" s="4">
        <v>225000</v>
      </c>
      <c r="E31" s="4" t="str">
        <f t="shared" si="1"/>
        <v>Over 200000 to 225000</v>
      </c>
      <c r="F31">
        <v>225000</v>
      </c>
      <c r="G31">
        <v>0</v>
      </c>
      <c r="H31" s="6">
        <f t="shared" si="0"/>
        <v>0</v>
      </c>
    </row>
    <row r="32" spans="1:12" x14ac:dyDescent="0.3">
      <c r="A32" s="4" t="s">
        <v>36</v>
      </c>
      <c r="B32" s="4">
        <v>247337</v>
      </c>
      <c r="C32" s="4"/>
      <c r="D32" s="4">
        <v>250000</v>
      </c>
      <c r="E32" s="4" t="str">
        <f t="shared" si="1"/>
        <v>Over 225000 to 250000</v>
      </c>
      <c r="F32">
        <v>250000</v>
      </c>
      <c r="G32">
        <v>2</v>
      </c>
      <c r="H32" s="6">
        <f t="shared" si="0"/>
        <v>0.02</v>
      </c>
    </row>
    <row r="33" spans="1:8" x14ac:dyDescent="0.3">
      <c r="A33" s="4" t="s">
        <v>37</v>
      </c>
      <c r="B33" s="4">
        <v>7869682</v>
      </c>
      <c r="C33" s="4"/>
      <c r="D33" s="4">
        <v>275000</v>
      </c>
      <c r="E33" s="4" t="str">
        <f t="shared" si="1"/>
        <v>Over 250000 to 275000</v>
      </c>
      <c r="F33">
        <v>275000</v>
      </c>
      <c r="G33">
        <v>0</v>
      </c>
      <c r="H33" s="6">
        <f t="shared" si="0"/>
        <v>0</v>
      </c>
    </row>
    <row r="34" spans="1:8" ht="15" thickBot="1" x14ac:dyDescent="0.35">
      <c r="A34" s="5" t="s">
        <v>38</v>
      </c>
      <c r="B34" s="5">
        <v>100</v>
      </c>
      <c r="C34" s="4"/>
      <c r="D34" s="4"/>
      <c r="E34" s="4" t="str">
        <f>"Over "&amp;D33</f>
        <v>Over 275000</v>
      </c>
      <c r="F34" s="1" t="s">
        <v>40</v>
      </c>
      <c r="G34" s="1">
        <v>0</v>
      </c>
      <c r="H34" s="1">
        <f t="shared" si="0"/>
        <v>0</v>
      </c>
    </row>
    <row r="35" spans="1:8" x14ac:dyDescent="0.3">
      <c r="A35" s="4"/>
      <c r="B35" s="4"/>
      <c r="C35" s="4"/>
      <c r="D35" s="4"/>
      <c r="E35" s="4"/>
      <c r="F35" s="4"/>
      <c r="G35" s="4"/>
      <c r="H35" s="4"/>
    </row>
    <row r="36" spans="1:8" x14ac:dyDescent="0.3">
      <c r="A36" s="4"/>
      <c r="B36" s="4"/>
      <c r="C36" s="4"/>
      <c r="D36" s="4"/>
      <c r="E36" s="7" t="s">
        <v>43</v>
      </c>
      <c r="F36" s="4"/>
      <c r="G36" s="4">
        <f>SUM(G21:G34)</f>
        <v>100</v>
      </c>
      <c r="H36" s="6">
        <f>SUM(H21:H34)</f>
        <v>1</v>
      </c>
    </row>
    <row r="39" spans="1:8" ht="21" x14ac:dyDescent="0.4">
      <c r="A39" s="10" t="s">
        <v>99</v>
      </c>
      <c r="B39" s="13" t="s">
        <v>100</v>
      </c>
    </row>
    <row r="41" spans="1:8" x14ac:dyDescent="0.3">
      <c r="A41" t="s">
        <v>46</v>
      </c>
    </row>
    <row r="42" spans="1:8" ht="15" thickBot="1" x14ac:dyDescent="0.35"/>
    <row r="43" spans="1:8" x14ac:dyDescent="0.3">
      <c r="A43" s="8" t="s">
        <v>47</v>
      </c>
      <c r="B43" s="8"/>
    </row>
    <row r="44" spans="1:8" x14ac:dyDescent="0.3">
      <c r="A44" t="s">
        <v>48</v>
      </c>
      <c r="B44">
        <v>0.54436106290389819</v>
      </c>
    </row>
    <row r="45" spans="1:8" x14ac:dyDescent="0.3">
      <c r="A45" t="s">
        <v>49</v>
      </c>
      <c r="B45">
        <v>0.29632896680586185</v>
      </c>
    </row>
    <row r="46" spans="1:8" x14ac:dyDescent="0.3">
      <c r="A46" t="s">
        <v>50</v>
      </c>
      <c r="B46">
        <v>0.25093083563204599</v>
      </c>
    </row>
    <row r="47" spans="1:8" x14ac:dyDescent="0.3">
      <c r="A47" t="s">
        <v>27</v>
      </c>
      <c r="B47">
        <v>34640.722774012203</v>
      </c>
    </row>
    <row r="48" spans="1:8" ht="15" thickBot="1" x14ac:dyDescent="0.35">
      <c r="A48" s="1" t="s">
        <v>51</v>
      </c>
      <c r="B48" s="1">
        <v>100</v>
      </c>
    </row>
    <row r="50" spans="1:9" ht="15" thickBot="1" x14ac:dyDescent="0.35">
      <c r="A50" t="s">
        <v>52</v>
      </c>
    </row>
    <row r="51" spans="1:9" x14ac:dyDescent="0.3">
      <c r="A51" s="2"/>
      <c r="B51" s="2" t="s">
        <v>56</v>
      </c>
      <c r="C51" s="2" t="s">
        <v>57</v>
      </c>
      <c r="D51" s="2" t="s">
        <v>58</v>
      </c>
      <c r="E51" s="2" t="s">
        <v>59</v>
      </c>
      <c r="F51" s="2" t="s">
        <v>60</v>
      </c>
    </row>
    <row r="52" spans="1:9" x14ac:dyDescent="0.3">
      <c r="A52" t="s">
        <v>53</v>
      </c>
      <c r="B52">
        <v>6</v>
      </c>
      <c r="C52">
        <v>46996040746.305069</v>
      </c>
      <c r="D52">
        <v>7832673457.7175112</v>
      </c>
      <c r="E52">
        <v>6.5273384420012821</v>
      </c>
      <c r="F52">
        <v>8.9321988464538971E-6</v>
      </c>
    </row>
    <row r="53" spans="1:9" x14ac:dyDescent="0.3">
      <c r="A53" t="s">
        <v>54</v>
      </c>
      <c r="B53">
        <v>93</v>
      </c>
      <c r="C53">
        <v>111598109710.45485</v>
      </c>
      <c r="D53">
        <v>1199979674.3059661</v>
      </c>
    </row>
    <row r="54" spans="1:9" ht="15" thickBot="1" x14ac:dyDescent="0.35">
      <c r="A54" s="1" t="s">
        <v>43</v>
      </c>
      <c r="B54" s="1">
        <v>99</v>
      </c>
      <c r="C54" s="1">
        <v>158594150456.75992</v>
      </c>
      <c r="D54" s="1"/>
      <c r="E54" s="1"/>
      <c r="F54" s="1"/>
    </row>
    <row r="55" spans="1:9" ht="15" thickBot="1" x14ac:dyDescent="0.35"/>
    <row r="56" spans="1:9" x14ac:dyDescent="0.3">
      <c r="A56" s="2"/>
      <c r="B56" s="2" t="s">
        <v>61</v>
      </c>
      <c r="C56" s="2" t="s">
        <v>27</v>
      </c>
      <c r="D56" s="2" t="s">
        <v>62</v>
      </c>
      <c r="E56" s="2" t="s">
        <v>63</v>
      </c>
      <c r="F56" s="2" t="s">
        <v>64</v>
      </c>
      <c r="G56" s="2" t="s">
        <v>65</v>
      </c>
      <c r="H56" s="2" t="s">
        <v>66</v>
      </c>
      <c r="I56" s="2" t="s">
        <v>67</v>
      </c>
    </row>
    <row r="57" spans="1:9" x14ac:dyDescent="0.3">
      <c r="A57" t="s">
        <v>55</v>
      </c>
      <c r="B57">
        <v>-110366.0292983329</v>
      </c>
      <c r="C57">
        <v>35950.246483839052</v>
      </c>
      <c r="D57">
        <v>-3.0699658581741982</v>
      </c>
      <c r="E57">
        <v>2.8061850885290804E-3</v>
      </c>
      <c r="F57">
        <v>-181756.09399211998</v>
      </c>
      <c r="G57">
        <v>-38975.964604545821</v>
      </c>
      <c r="H57">
        <v>-181756.09399211998</v>
      </c>
      <c r="I57">
        <v>-38975.964604545821</v>
      </c>
    </row>
    <row r="58" spans="1:9" x14ac:dyDescent="0.3">
      <c r="A58" t="s">
        <v>6</v>
      </c>
      <c r="B58">
        <v>-317.54288786973297</v>
      </c>
      <c r="C58">
        <v>252.77389282421419</v>
      </c>
      <c r="D58">
        <v>-1.2562329294448176</v>
      </c>
      <c r="E58">
        <v>0.21217808163234636</v>
      </c>
      <c r="F58">
        <v>-819.50174285931371</v>
      </c>
      <c r="G58">
        <v>184.41596711984783</v>
      </c>
      <c r="H58">
        <v>-819.50174285931371</v>
      </c>
      <c r="I58">
        <v>184.41596711984783</v>
      </c>
    </row>
    <row r="59" spans="1:9" x14ac:dyDescent="0.3">
      <c r="A59" t="s">
        <v>7</v>
      </c>
      <c r="B59">
        <v>1085.2755839702722</v>
      </c>
      <c r="C59">
        <v>484.30540163392595</v>
      </c>
      <c r="D59">
        <v>2.2408909343336298</v>
      </c>
      <c r="E59">
        <v>2.7413104049454368E-2</v>
      </c>
      <c r="F59">
        <v>123.54103870814026</v>
      </c>
      <c r="G59">
        <v>2047.0101292324043</v>
      </c>
      <c r="H59">
        <v>123.54103870814026</v>
      </c>
      <c r="I59">
        <v>2047.0101292324043</v>
      </c>
    </row>
    <row r="60" spans="1:9" x14ac:dyDescent="0.3">
      <c r="A60" t="s">
        <v>8</v>
      </c>
      <c r="B60">
        <v>866.41739649383476</v>
      </c>
      <c r="C60">
        <v>675.00658600306826</v>
      </c>
      <c r="D60">
        <v>1.2835688043048168</v>
      </c>
      <c r="E60">
        <v>0.20248190763941198</v>
      </c>
      <c r="F60">
        <v>-474.01190668643699</v>
      </c>
      <c r="G60">
        <v>2206.8466996741063</v>
      </c>
      <c r="H60">
        <v>-474.01190668643699</v>
      </c>
      <c r="I60">
        <v>2206.8466996741063</v>
      </c>
    </row>
    <row r="61" spans="1:9" x14ac:dyDescent="0.3">
      <c r="A61" t="s">
        <v>9</v>
      </c>
      <c r="B61">
        <v>5025.1133314452791</v>
      </c>
      <c r="C61">
        <v>1423.895325473384</v>
      </c>
      <c r="D61">
        <v>3.5291311387476076</v>
      </c>
      <c r="E61">
        <v>6.501984303737251E-4</v>
      </c>
      <c r="F61">
        <v>2197.5394106816989</v>
      </c>
      <c r="G61">
        <v>7852.6872522088597</v>
      </c>
      <c r="H61">
        <v>2197.5394106816989</v>
      </c>
      <c r="I61">
        <v>7852.6872522088597</v>
      </c>
    </row>
    <row r="62" spans="1:9" x14ac:dyDescent="0.3">
      <c r="A62" t="s">
        <v>10</v>
      </c>
      <c r="B62">
        <v>1.9135273797157721</v>
      </c>
      <c r="C62">
        <v>0.87319364310459668</v>
      </c>
      <c r="D62">
        <v>2.1914124029949651</v>
      </c>
      <c r="E62">
        <v>3.0919831175766802E-2</v>
      </c>
      <c r="F62">
        <v>0.17953785896342622</v>
      </c>
      <c r="G62">
        <v>3.6475169004681183</v>
      </c>
      <c r="H62">
        <v>0.17953785896342622</v>
      </c>
      <c r="I62">
        <v>3.6475169004681183</v>
      </c>
    </row>
    <row r="63" spans="1:9" ht="15" thickBot="1" x14ac:dyDescent="0.35">
      <c r="A63" s="1" t="s">
        <v>11</v>
      </c>
      <c r="B63" s="1">
        <v>18920.792696836052</v>
      </c>
      <c r="C63" s="1">
        <v>6654.2405556390777</v>
      </c>
      <c r="D63" s="1">
        <v>2.8434188001817566</v>
      </c>
      <c r="E63" s="1">
        <v>5.4872007702384132E-3</v>
      </c>
      <c r="F63" s="1">
        <v>5706.7897283544226</v>
      </c>
      <c r="G63" s="1">
        <v>32134.795665317681</v>
      </c>
      <c r="H63" s="1">
        <v>5706.7897283544226</v>
      </c>
      <c r="I63" s="1">
        <v>32134.795665317681</v>
      </c>
    </row>
    <row r="67" spans="1:6" x14ac:dyDescent="0.3">
      <c r="A67" t="s">
        <v>68</v>
      </c>
    </row>
    <row r="68" spans="1:6" ht="15" thickBot="1" x14ac:dyDescent="0.35"/>
    <row r="69" spans="1:6" x14ac:dyDescent="0.3">
      <c r="A69" s="2" t="s">
        <v>69</v>
      </c>
      <c r="B69" s="2" t="s">
        <v>70</v>
      </c>
      <c r="C69" s="2" t="s">
        <v>71</v>
      </c>
      <c r="D69" s="2" t="s">
        <v>72</v>
      </c>
      <c r="F69" s="13" t="s">
        <v>118</v>
      </c>
    </row>
    <row r="70" spans="1:6" x14ac:dyDescent="0.3">
      <c r="A70">
        <v>1</v>
      </c>
      <c r="B70">
        <v>58972.950006582294</v>
      </c>
      <c r="C70">
        <v>24106.049993417706</v>
      </c>
      <c r="D70">
        <v>0.71798476830191305</v>
      </c>
    </row>
    <row r="71" spans="1:6" x14ac:dyDescent="0.3">
      <c r="A71">
        <v>2</v>
      </c>
      <c r="B71">
        <v>75623.612369012088</v>
      </c>
      <c r="C71">
        <v>-44164.612369012088</v>
      </c>
      <c r="D71">
        <v>-1.3154174569275103</v>
      </c>
    </row>
    <row r="72" spans="1:6" x14ac:dyDescent="0.3">
      <c r="A72">
        <v>3</v>
      </c>
      <c r="B72">
        <v>106993.96690799639</v>
      </c>
      <c r="C72">
        <v>26803.033092003607</v>
      </c>
      <c r="D72">
        <v>0.7983128513217822</v>
      </c>
    </row>
    <row r="73" spans="1:6" x14ac:dyDescent="0.3">
      <c r="A73">
        <v>4</v>
      </c>
      <c r="B73">
        <v>91269.330917167696</v>
      </c>
      <c r="C73">
        <v>-49530.330917167696</v>
      </c>
      <c r="D73">
        <v>-1.4752322830654605</v>
      </c>
    </row>
    <row r="74" spans="1:6" x14ac:dyDescent="0.3">
      <c r="A74">
        <v>5</v>
      </c>
      <c r="B74">
        <v>91357.154198512828</v>
      </c>
      <c r="C74">
        <v>-23411.154198512828</v>
      </c>
      <c r="D74">
        <v>-0.69728769862708095</v>
      </c>
    </row>
    <row r="75" spans="1:6" x14ac:dyDescent="0.3">
      <c r="A75">
        <v>6</v>
      </c>
      <c r="B75">
        <v>83620.089794861895</v>
      </c>
      <c r="C75">
        <v>-4744.0897948618949</v>
      </c>
      <c r="D75">
        <v>-0.14129997295689115</v>
      </c>
    </row>
    <row r="76" spans="1:6" x14ac:dyDescent="0.3">
      <c r="A76">
        <v>7</v>
      </c>
      <c r="B76">
        <v>64804.623278100902</v>
      </c>
      <c r="C76">
        <v>61872.376721899098</v>
      </c>
      <c r="D76">
        <v>1.8428329849598533</v>
      </c>
    </row>
    <row r="77" spans="1:6" x14ac:dyDescent="0.3">
      <c r="A77">
        <v>8</v>
      </c>
      <c r="B77">
        <v>94675.088852042609</v>
      </c>
      <c r="C77">
        <v>-16694.088852042609</v>
      </c>
      <c r="D77">
        <v>-0.49722378903711872</v>
      </c>
    </row>
    <row r="78" spans="1:6" x14ac:dyDescent="0.3">
      <c r="A78">
        <v>9</v>
      </c>
      <c r="B78">
        <v>25923.043700297727</v>
      </c>
      <c r="C78">
        <v>24372.956299702273</v>
      </c>
      <c r="D78">
        <v>0.72593441839093109</v>
      </c>
    </row>
    <row r="79" spans="1:6" x14ac:dyDescent="0.3">
      <c r="A79">
        <v>10</v>
      </c>
      <c r="B79">
        <v>34915.29703413252</v>
      </c>
      <c r="C79">
        <v>3386.7029658674801</v>
      </c>
      <c r="D79">
        <v>0.10087099068158106</v>
      </c>
    </row>
    <row r="80" spans="1:6" x14ac:dyDescent="0.3">
      <c r="A80">
        <v>11</v>
      </c>
      <c r="B80">
        <v>82251.825913160457</v>
      </c>
      <c r="C80">
        <v>-23530.825913160457</v>
      </c>
      <c r="D80">
        <v>-0.70085205149024321</v>
      </c>
    </row>
    <row r="81" spans="1:4" x14ac:dyDescent="0.3">
      <c r="A81">
        <v>12</v>
      </c>
      <c r="B81">
        <v>47568.123887774767</v>
      </c>
      <c r="C81">
        <v>-8848.1238877747674</v>
      </c>
      <c r="D81">
        <v>-0.26353625671585607</v>
      </c>
    </row>
    <row r="82" spans="1:4" x14ac:dyDescent="0.3">
      <c r="A82">
        <v>13</v>
      </c>
      <c r="B82">
        <v>77390.651343637292</v>
      </c>
      <c r="C82">
        <v>-26723.651343637292</v>
      </c>
      <c r="D82">
        <v>-0.79594851182096182</v>
      </c>
    </row>
    <row r="83" spans="1:4" x14ac:dyDescent="0.3">
      <c r="A83">
        <v>14</v>
      </c>
      <c r="B83">
        <v>41122.251216658347</v>
      </c>
      <c r="C83">
        <v>-3550.2512166583474</v>
      </c>
      <c r="D83">
        <v>-0.10574218081776379</v>
      </c>
    </row>
    <row r="84" spans="1:4" x14ac:dyDescent="0.3">
      <c r="A84">
        <v>15</v>
      </c>
      <c r="B84">
        <v>66417.677126852534</v>
      </c>
      <c r="C84">
        <v>-2381.6771268525335</v>
      </c>
      <c r="D84">
        <v>-7.0936876865355783E-2</v>
      </c>
    </row>
    <row r="85" spans="1:4" x14ac:dyDescent="0.3">
      <c r="A85">
        <v>16</v>
      </c>
      <c r="B85">
        <v>83222.65991075999</v>
      </c>
      <c r="C85">
        <v>15688.34008924001</v>
      </c>
      <c r="D85">
        <v>0.46726814335365185</v>
      </c>
    </row>
    <row r="86" spans="1:4" x14ac:dyDescent="0.3">
      <c r="A86">
        <v>17</v>
      </c>
      <c r="B86">
        <v>96264.014883022988</v>
      </c>
      <c r="C86">
        <v>-30779.014883022988</v>
      </c>
      <c r="D86">
        <v>-0.91673517126956161</v>
      </c>
    </row>
    <row r="87" spans="1:4" x14ac:dyDescent="0.3">
      <c r="A87">
        <v>18</v>
      </c>
      <c r="B87">
        <v>65054.308849012617</v>
      </c>
      <c r="C87">
        <v>-7507.3088490126174</v>
      </c>
      <c r="D87">
        <v>-0.22360085563586871</v>
      </c>
    </row>
    <row r="88" spans="1:4" x14ac:dyDescent="0.3">
      <c r="A88">
        <v>19</v>
      </c>
      <c r="B88">
        <v>58051.398583507333</v>
      </c>
      <c r="C88">
        <v>-14746.398583507333</v>
      </c>
      <c r="D88">
        <v>-0.43921295994815412</v>
      </c>
    </row>
    <row r="89" spans="1:4" x14ac:dyDescent="0.3">
      <c r="A89">
        <v>20</v>
      </c>
      <c r="B89">
        <v>94308.929568617779</v>
      </c>
      <c r="C89">
        <v>138616.07043138222</v>
      </c>
      <c r="D89">
        <v>4.1285995523436352</v>
      </c>
    </row>
    <row r="90" spans="1:4" x14ac:dyDescent="0.3">
      <c r="A90">
        <v>21</v>
      </c>
      <c r="B90">
        <v>103293.05322537114</v>
      </c>
      <c r="C90">
        <v>-36017.053225371143</v>
      </c>
      <c r="D90">
        <v>-1.0727471162632165</v>
      </c>
    </row>
    <row r="91" spans="1:4" x14ac:dyDescent="0.3">
      <c r="A91">
        <v>22</v>
      </c>
      <c r="B91">
        <v>72469.644225072188</v>
      </c>
      <c r="C91">
        <v>9855.3557749278116</v>
      </c>
      <c r="D91">
        <v>0.29353607640101165</v>
      </c>
    </row>
    <row r="92" spans="1:4" x14ac:dyDescent="0.3">
      <c r="A92">
        <v>23</v>
      </c>
      <c r="B92">
        <v>78821.480419750224</v>
      </c>
      <c r="C92">
        <v>-37218.480419750224</v>
      </c>
      <c r="D92">
        <v>-1.1085309309497131</v>
      </c>
    </row>
    <row r="93" spans="1:4" x14ac:dyDescent="0.3">
      <c r="A93">
        <v>24</v>
      </c>
      <c r="B93">
        <v>63571.700672482635</v>
      </c>
      <c r="C93">
        <v>965.29932751736487</v>
      </c>
      <c r="D93">
        <v>2.8750882628999545E-2</v>
      </c>
    </row>
    <row r="94" spans="1:4" x14ac:dyDescent="0.3">
      <c r="A94">
        <v>25</v>
      </c>
      <c r="B94">
        <v>103589.16099043822</v>
      </c>
      <c r="C94">
        <v>31563.83900956178</v>
      </c>
      <c r="D94">
        <v>0.94011070433302779</v>
      </c>
    </row>
    <row r="95" spans="1:4" x14ac:dyDescent="0.3">
      <c r="A95">
        <v>26</v>
      </c>
      <c r="B95">
        <v>125206.42538987575</v>
      </c>
      <c r="C95">
        <v>122130.57461012425</v>
      </c>
      <c r="D95">
        <v>3.6375885861836861</v>
      </c>
    </row>
    <row r="96" spans="1:4" x14ac:dyDescent="0.3">
      <c r="A96">
        <v>27</v>
      </c>
      <c r="B96">
        <v>92292.466156932627</v>
      </c>
      <c r="C96">
        <v>-5344.4661569326272</v>
      </c>
      <c r="D96">
        <v>-0.15918183594701205</v>
      </c>
    </row>
    <row r="97" spans="1:4" x14ac:dyDescent="0.3">
      <c r="A97">
        <v>28</v>
      </c>
      <c r="B97">
        <v>60137.432770081337</v>
      </c>
      <c r="C97">
        <v>-30854.432770081337</v>
      </c>
      <c r="D97">
        <v>-0.91898144945201765</v>
      </c>
    </row>
    <row r="98" spans="1:4" x14ac:dyDescent="0.3">
      <c r="A98">
        <v>29</v>
      </c>
      <c r="B98">
        <v>77129.51969482236</v>
      </c>
      <c r="C98">
        <v>-13696.51969482236</v>
      </c>
      <c r="D98">
        <v>-0.40794292396783471</v>
      </c>
    </row>
    <row r="99" spans="1:4" x14ac:dyDescent="0.3">
      <c r="A99">
        <v>30</v>
      </c>
      <c r="B99">
        <v>110055.01887930113</v>
      </c>
      <c r="C99">
        <v>-17129.018879301133</v>
      </c>
      <c r="D99">
        <v>-0.51017792855537347</v>
      </c>
    </row>
    <row r="100" spans="1:4" x14ac:dyDescent="0.3">
      <c r="A100">
        <v>31</v>
      </c>
      <c r="B100">
        <v>117817.12927617278</v>
      </c>
      <c r="C100">
        <v>-24.129276172781829</v>
      </c>
      <c r="D100">
        <v>-7.1867654663199381E-4</v>
      </c>
    </row>
    <row r="101" spans="1:4" x14ac:dyDescent="0.3">
      <c r="A101">
        <v>32</v>
      </c>
      <c r="B101">
        <v>61867.98388957011</v>
      </c>
      <c r="C101">
        <v>-22951.98388957011</v>
      </c>
      <c r="D101">
        <v>-0.68361157632718628</v>
      </c>
    </row>
    <row r="102" spans="1:4" x14ac:dyDescent="0.3">
      <c r="A102">
        <v>33</v>
      </c>
      <c r="B102">
        <v>56388.414892461631</v>
      </c>
      <c r="C102">
        <v>15428.585107538369</v>
      </c>
      <c r="D102">
        <v>0.45953149133462573</v>
      </c>
    </row>
    <row r="103" spans="1:4" x14ac:dyDescent="0.3">
      <c r="A103">
        <v>34</v>
      </c>
      <c r="B103">
        <v>106901.73445089368</v>
      </c>
      <c r="C103">
        <v>12705.26554910632</v>
      </c>
      <c r="D103">
        <v>0.3784189920779325</v>
      </c>
    </row>
    <row r="104" spans="1:4" x14ac:dyDescent="0.3">
      <c r="A104">
        <v>35</v>
      </c>
      <c r="B104">
        <v>102848.64185561184</v>
      </c>
      <c r="C104">
        <v>-8891.6418556118442</v>
      </c>
      <c r="D104">
        <v>-0.26483241423909215</v>
      </c>
    </row>
    <row r="105" spans="1:4" x14ac:dyDescent="0.3">
      <c r="A105">
        <v>36</v>
      </c>
      <c r="B105">
        <v>88188.899298556877</v>
      </c>
      <c r="C105">
        <v>7401.1007014431234</v>
      </c>
      <c r="D105">
        <v>0.22043750733760828</v>
      </c>
    </row>
    <row r="106" spans="1:4" x14ac:dyDescent="0.3">
      <c r="A106">
        <v>37</v>
      </c>
      <c r="B106">
        <v>86993.22113773314</v>
      </c>
      <c r="C106">
        <v>2159.7788622668595</v>
      </c>
      <c r="D106">
        <v>6.4327765288442723E-2</v>
      </c>
    </row>
    <row r="107" spans="1:4" x14ac:dyDescent="0.3">
      <c r="A107">
        <v>38</v>
      </c>
      <c r="B107">
        <v>88539.851217358868</v>
      </c>
      <c r="C107">
        <v>16759.148782641132</v>
      </c>
      <c r="D107">
        <v>0.49916156147222418</v>
      </c>
    </row>
    <row r="108" spans="1:4" x14ac:dyDescent="0.3">
      <c r="A108">
        <v>39</v>
      </c>
      <c r="B108">
        <v>70070.479634425777</v>
      </c>
      <c r="C108">
        <v>-27399.479634425777</v>
      </c>
      <c r="D108">
        <v>-0.81607766690469163</v>
      </c>
    </row>
    <row r="109" spans="1:4" x14ac:dyDescent="0.3">
      <c r="A109">
        <v>40</v>
      </c>
      <c r="B109">
        <v>103304.71965754637</v>
      </c>
      <c r="C109">
        <v>-29701.719657546375</v>
      </c>
      <c r="D109">
        <v>-0.88464855554165145</v>
      </c>
    </row>
    <row r="110" spans="1:4" x14ac:dyDescent="0.3">
      <c r="A110">
        <v>41</v>
      </c>
      <c r="B110">
        <v>78585.053676864336</v>
      </c>
      <c r="C110">
        <v>14109.946323135664</v>
      </c>
      <c r="D110">
        <v>0.42025659717520053</v>
      </c>
    </row>
    <row r="111" spans="1:4" x14ac:dyDescent="0.3">
      <c r="A111">
        <v>42</v>
      </c>
      <c r="B111">
        <v>51869.635923607115</v>
      </c>
      <c r="C111">
        <v>-520.63592360711482</v>
      </c>
      <c r="D111">
        <v>-1.5506840112037328E-2</v>
      </c>
    </row>
    <row r="112" spans="1:4" x14ac:dyDescent="0.3">
      <c r="A112">
        <v>43</v>
      </c>
      <c r="B112">
        <v>56815.703548190948</v>
      </c>
      <c r="C112">
        <v>1129.2964518090521</v>
      </c>
      <c r="D112">
        <v>3.3635442203002699E-2</v>
      </c>
    </row>
    <row r="113" spans="1:4" x14ac:dyDescent="0.3">
      <c r="A113">
        <v>44</v>
      </c>
      <c r="B113">
        <v>65430.308538056946</v>
      </c>
      <c r="C113">
        <v>-19056.308538056946</v>
      </c>
      <c r="D113">
        <v>-0.56758113727145554</v>
      </c>
    </row>
    <row r="114" spans="1:4" x14ac:dyDescent="0.3">
      <c r="A114">
        <v>45</v>
      </c>
      <c r="B114">
        <v>93185.055797534849</v>
      </c>
      <c r="C114">
        <v>8439.9442024651507</v>
      </c>
      <c r="D114">
        <v>0.25137886067367593</v>
      </c>
    </row>
    <row r="115" spans="1:4" x14ac:dyDescent="0.3">
      <c r="A115">
        <v>46</v>
      </c>
      <c r="B115">
        <v>75453.915208912571</v>
      </c>
      <c r="C115">
        <v>-31851.915208912571</v>
      </c>
      <c r="D115">
        <v>-0.94869088745305996</v>
      </c>
    </row>
    <row r="116" spans="1:4" x14ac:dyDescent="0.3">
      <c r="A116">
        <v>47</v>
      </c>
      <c r="B116">
        <v>80166.265869319104</v>
      </c>
      <c r="C116">
        <v>-39928.265869319104</v>
      </c>
      <c r="D116">
        <v>-1.1892403245952028</v>
      </c>
    </row>
    <row r="117" spans="1:4" x14ac:dyDescent="0.3">
      <c r="A117">
        <v>48</v>
      </c>
      <c r="B117">
        <v>99734.338064491763</v>
      </c>
      <c r="C117">
        <v>-22528.338064491763</v>
      </c>
      <c r="D117">
        <v>-0.67099353024979058</v>
      </c>
    </row>
    <row r="118" spans="1:4" x14ac:dyDescent="0.3">
      <c r="A118">
        <v>49</v>
      </c>
      <c r="B118">
        <v>81541.171712926473</v>
      </c>
      <c r="C118">
        <v>-53501.171712926473</v>
      </c>
      <c r="D118">
        <v>-1.5935014814403552</v>
      </c>
    </row>
    <row r="119" spans="1:4" x14ac:dyDescent="0.3">
      <c r="A119">
        <v>50</v>
      </c>
      <c r="B119">
        <v>43572.005036348397</v>
      </c>
      <c r="C119">
        <v>27951.994963651603</v>
      </c>
      <c r="D119">
        <v>0.83253401669015126</v>
      </c>
    </row>
    <row r="120" spans="1:4" x14ac:dyDescent="0.3">
      <c r="A120">
        <v>51</v>
      </c>
      <c r="B120">
        <v>77457.563401722757</v>
      </c>
      <c r="C120">
        <v>-6162.5634017227567</v>
      </c>
      <c r="D120">
        <v>-0.18354838960924466</v>
      </c>
    </row>
    <row r="121" spans="1:4" x14ac:dyDescent="0.3">
      <c r="A121">
        <v>52</v>
      </c>
      <c r="B121">
        <v>57106.2694152779</v>
      </c>
      <c r="C121">
        <v>583.73058472209959</v>
      </c>
      <c r="D121">
        <v>1.7386078131293895E-2</v>
      </c>
    </row>
    <row r="122" spans="1:4" x14ac:dyDescent="0.3">
      <c r="A122">
        <v>53</v>
      </c>
      <c r="B122">
        <v>83375.040334458972</v>
      </c>
      <c r="C122">
        <v>27392.959665541028</v>
      </c>
      <c r="D122">
        <v>0.815883473399313</v>
      </c>
    </row>
    <row r="123" spans="1:4" x14ac:dyDescent="0.3">
      <c r="A123">
        <v>54</v>
      </c>
      <c r="B123">
        <v>105062.04986629417</v>
      </c>
      <c r="C123">
        <v>-28512.049866294168</v>
      </c>
      <c r="D123">
        <v>-0.84921492831275103</v>
      </c>
    </row>
    <row r="124" spans="1:4" x14ac:dyDescent="0.3">
      <c r="A124">
        <v>55</v>
      </c>
      <c r="B124">
        <v>30901.205846146146</v>
      </c>
      <c r="C124">
        <v>8701.7941538538544</v>
      </c>
      <c r="D124">
        <v>0.25917791015415992</v>
      </c>
    </row>
    <row r="125" spans="1:4" x14ac:dyDescent="0.3">
      <c r="A125">
        <v>56</v>
      </c>
      <c r="B125">
        <v>82409.745079523069</v>
      </c>
      <c r="C125">
        <v>-4394.7450795230689</v>
      </c>
      <c r="D125">
        <v>-0.13089494249488956</v>
      </c>
    </row>
    <row r="126" spans="1:4" x14ac:dyDescent="0.3">
      <c r="A126">
        <v>57</v>
      </c>
      <c r="B126">
        <v>99224.56721666301</v>
      </c>
      <c r="C126">
        <v>10474.43278333699</v>
      </c>
      <c r="D126">
        <v>0.31197492733532378</v>
      </c>
    </row>
    <row r="127" spans="1:4" x14ac:dyDescent="0.3">
      <c r="A127">
        <v>58</v>
      </c>
      <c r="B127">
        <v>116117.29558430747</v>
      </c>
      <c r="C127">
        <v>-64294.295584307474</v>
      </c>
      <c r="D127">
        <v>-1.914968438663265</v>
      </c>
    </row>
    <row r="128" spans="1:4" x14ac:dyDescent="0.3">
      <c r="A128">
        <v>59</v>
      </c>
      <c r="B128">
        <v>70344.584796294279</v>
      </c>
      <c r="C128">
        <v>-33959.584796294279</v>
      </c>
      <c r="D128">
        <v>-1.0114666081027082</v>
      </c>
    </row>
    <row r="129" spans="1:4" x14ac:dyDescent="0.3">
      <c r="A129">
        <v>60</v>
      </c>
      <c r="B129">
        <v>80768.710337510056</v>
      </c>
      <c r="C129">
        <v>-17843.710337510056</v>
      </c>
      <c r="D129">
        <v>-0.53146460062191292</v>
      </c>
    </row>
    <row r="130" spans="1:4" x14ac:dyDescent="0.3">
      <c r="A130">
        <v>61</v>
      </c>
      <c r="B130">
        <v>84585.315282357187</v>
      </c>
      <c r="C130">
        <v>-30993.315282357187</v>
      </c>
      <c r="D130">
        <v>-0.92311798482072349</v>
      </c>
    </row>
    <row r="131" spans="1:4" x14ac:dyDescent="0.3">
      <c r="A131">
        <v>62</v>
      </c>
      <c r="B131">
        <v>77532.319683959562</v>
      </c>
      <c r="C131">
        <v>-29115.319683959562</v>
      </c>
      <c r="D131">
        <v>-0.86718297120564702</v>
      </c>
    </row>
    <row r="132" spans="1:4" x14ac:dyDescent="0.3">
      <c r="A132">
        <v>63</v>
      </c>
      <c r="B132">
        <v>63607.081091761458</v>
      </c>
      <c r="C132">
        <v>4159.9189082385419</v>
      </c>
      <c r="D132">
        <v>0.12390078068791643</v>
      </c>
    </row>
    <row r="133" spans="1:4" x14ac:dyDescent="0.3">
      <c r="A133">
        <v>64</v>
      </c>
      <c r="B133">
        <v>51480.428209676174</v>
      </c>
      <c r="C133">
        <v>34488.571790323826</v>
      </c>
      <c r="D133">
        <v>1.0272221800212407</v>
      </c>
    </row>
    <row r="134" spans="1:4" x14ac:dyDescent="0.3">
      <c r="A134">
        <v>65</v>
      </c>
      <c r="B134">
        <v>82805.017254095539</v>
      </c>
      <c r="C134">
        <v>-32741.017254095539</v>
      </c>
      <c r="D134">
        <v>-0.97517227806171458</v>
      </c>
    </row>
    <row r="135" spans="1:4" x14ac:dyDescent="0.3">
      <c r="A135">
        <v>66</v>
      </c>
      <c r="B135">
        <v>63163.028622166326</v>
      </c>
      <c r="C135">
        <v>-9122.0286221663264</v>
      </c>
      <c r="D135">
        <v>-0.27169435094168815</v>
      </c>
    </row>
    <row r="136" spans="1:4" x14ac:dyDescent="0.3">
      <c r="A136">
        <v>67</v>
      </c>
      <c r="B136">
        <v>73808.691953428264</v>
      </c>
      <c r="C136">
        <v>37747.308046571736</v>
      </c>
      <c r="D136">
        <v>1.1242817562080516</v>
      </c>
    </row>
    <row r="137" spans="1:4" x14ac:dyDescent="0.3">
      <c r="A137">
        <v>68</v>
      </c>
      <c r="B137">
        <v>67336.555021003645</v>
      </c>
      <c r="C137">
        <v>-6640.5550210036454</v>
      </c>
      <c r="D137">
        <v>-0.19778509376083131</v>
      </c>
    </row>
    <row r="138" spans="1:4" x14ac:dyDescent="0.3">
      <c r="A138">
        <v>69</v>
      </c>
      <c r="B138">
        <v>72891.197932945783</v>
      </c>
      <c r="C138">
        <v>73576.802067054217</v>
      </c>
      <c r="D138">
        <v>2.1914425299430791</v>
      </c>
    </row>
    <row r="139" spans="1:4" x14ac:dyDescent="0.3">
      <c r="A139">
        <v>70</v>
      </c>
      <c r="B139">
        <v>102179.75961858727</v>
      </c>
      <c r="C139">
        <v>35450.240381412732</v>
      </c>
      <c r="D139">
        <v>1.0558649232639008</v>
      </c>
    </row>
    <row r="140" spans="1:4" x14ac:dyDescent="0.3">
      <c r="A140">
        <v>71</v>
      </c>
      <c r="B140">
        <v>64355.057312006174</v>
      </c>
      <c r="C140">
        <v>12870.942687993826</v>
      </c>
      <c r="D140">
        <v>0.38335358991580104</v>
      </c>
    </row>
    <row r="141" spans="1:4" x14ac:dyDescent="0.3">
      <c r="A141">
        <v>72</v>
      </c>
      <c r="B141">
        <v>80753.084250098647</v>
      </c>
      <c r="C141">
        <v>-30199.084250098647</v>
      </c>
      <c r="D141">
        <v>-0.89946227250659294</v>
      </c>
    </row>
    <row r="142" spans="1:4" x14ac:dyDescent="0.3">
      <c r="A142">
        <v>73</v>
      </c>
      <c r="B142">
        <v>61657.050107048199</v>
      </c>
      <c r="C142">
        <v>-21156.050107048199</v>
      </c>
      <c r="D142">
        <v>-0.63012072647490169</v>
      </c>
    </row>
    <row r="143" spans="1:4" x14ac:dyDescent="0.3">
      <c r="A143">
        <v>74</v>
      </c>
      <c r="B143">
        <v>46482.14912554191</v>
      </c>
      <c r="C143">
        <v>9467.8508744580904</v>
      </c>
      <c r="D143">
        <v>0.28199446687744478</v>
      </c>
    </row>
    <row r="144" spans="1:4" x14ac:dyDescent="0.3">
      <c r="A144">
        <v>75</v>
      </c>
      <c r="B144">
        <v>109075.62448963842</v>
      </c>
      <c r="C144">
        <v>83870.375510361584</v>
      </c>
      <c r="D144">
        <v>2.4980306663532259</v>
      </c>
    </row>
    <row r="145" spans="1:4" x14ac:dyDescent="0.3">
      <c r="A145">
        <v>76</v>
      </c>
      <c r="B145">
        <v>75020.386170260928</v>
      </c>
      <c r="C145">
        <v>-12442.386170260928</v>
      </c>
      <c r="D145">
        <v>-0.37058928169555144</v>
      </c>
    </row>
    <row r="146" spans="1:4" x14ac:dyDescent="0.3">
      <c r="A146">
        <v>77</v>
      </c>
      <c r="B146">
        <v>127273.07567199349</v>
      </c>
      <c r="C146">
        <v>10916.924328006513</v>
      </c>
      <c r="D146">
        <v>0.32515428227990628</v>
      </c>
    </row>
    <row r="147" spans="1:4" x14ac:dyDescent="0.3">
      <c r="A147">
        <v>78</v>
      </c>
      <c r="B147">
        <v>84297.744493743317</v>
      </c>
      <c r="C147">
        <v>-13622.744493743317</v>
      </c>
      <c r="D147">
        <v>-0.40574557223797325</v>
      </c>
    </row>
    <row r="148" spans="1:4" x14ac:dyDescent="0.3">
      <c r="A148">
        <v>79</v>
      </c>
      <c r="B148">
        <v>62417.701322489898</v>
      </c>
      <c r="C148">
        <v>26824.298677510102</v>
      </c>
      <c r="D148">
        <v>0.79894623449682978</v>
      </c>
    </row>
    <row r="149" spans="1:4" x14ac:dyDescent="0.3">
      <c r="A149">
        <v>80</v>
      </c>
      <c r="B149">
        <v>93686.879371767471</v>
      </c>
      <c r="C149">
        <v>-20191.879371767471</v>
      </c>
      <c r="D149">
        <v>-0.6014034583134632</v>
      </c>
    </row>
    <row r="150" spans="1:4" x14ac:dyDescent="0.3">
      <c r="A150">
        <v>81</v>
      </c>
      <c r="B150">
        <v>98300.331257960468</v>
      </c>
      <c r="C150">
        <v>-5284.3312579604681</v>
      </c>
      <c r="D150">
        <v>-0.15739075273274949</v>
      </c>
    </row>
    <row r="151" spans="1:4" x14ac:dyDescent="0.3">
      <c r="A151">
        <v>82</v>
      </c>
      <c r="B151">
        <v>69180.273918764928</v>
      </c>
      <c r="C151">
        <v>-6467.2739187649277</v>
      </c>
      <c r="D151">
        <v>-0.19262401626883499</v>
      </c>
    </row>
    <row r="152" spans="1:4" x14ac:dyDescent="0.3">
      <c r="A152">
        <v>83</v>
      </c>
      <c r="B152">
        <v>48859.342283094018</v>
      </c>
      <c r="C152">
        <v>9367.6577169059819</v>
      </c>
      <c r="D152">
        <v>0.27901027158082298</v>
      </c>
    </row>
    <row r="153" spans="1:4" x14ac:dyDescent="0.3">
      <c r="A153">
        <v>84</v>
      </c>
      <c r="B153">
        <v>75258.211610669983</v>
      </c>
      <c r="C153">
        <v>43916.788389330017</v>
      </c>
      <c r="D153">
        <v>1.3080361629087776</v>
      </c>
    </row>
    <row r="154" spans="1:4" x14ac:dyDescent="0.3">
      <c r="A154">
        <v>85</v>
      </c>
      <c r="B154">
        <v>108294.99077899591</v>
      </c>
      <c r="C154">
        <v>56312.009221004089</v>
      </c>
      <c r="D154">
        <v>1.6772206522511059</v>
      </c>
    </row>
    <row r="155" spans="1:4" x14ac:dyDescent="0.3">
      <c r="A155">
        <v>86</v>
      </c>
      <c r="B155">
        <v>83947.686890481156</v>
      </c>
      <c r="C155">
        <v>35473.313109518844</v>
      </c>
      <c r="D155">
        <v>1.0565521311369404</v>
      </c>
    </row>
    <row r="156" spans="1:4" x14ac:dyDescent="0.3">
      <c r="A156">
        <v>87</v>
      </c>
      <c r="B156">
        <v>45462.57681616176</v>
      </c>
      <c r="C156">
        <v>-22187.57681616176</v>
      </c>
      <c r="D156">
        <v>-0.66084415339230895</v>
      </c>
    </row>
    <row r="157" spans="1:4" x14ac:dyDescent="0.3">
      <c r="A157">
        <v>88</v>
      </c>
      <c r="B157">
        <v>74217.482148128242</v>
      </c>
      <c r="C157">
        <v>8652.5178518717585</v>
      </c>
      <c r="D157">
        <v>0.25771024397612369</v>
      </c>
    </row>
    <row r="158" spans="1:4" x14ac:dyDescent="0.3">
      <c r="A158">
        <v>89</v>
      </c>
      <c r="B158">
        <v>51536.17898195461</v>
      </c>
      <c r="C158">
        <v>-7298.1789819546102</v>
      </c>
      <c r="D158">
        <v>-0.21737204340053137</v>
      </c>
    </row>
    <row r="159" spans="1:4" x14ac:dyDescent="0.3">
      <c r="A159">
        <v>90</v>
      </c>
      <c r="B159">
        <v>48754.098771017423</v>
      </c>
      <c r="C159">
        <v>29787.901228982577</v>
      </c>
      <c r="D159">
        <v>0.88721542384302865</v>
      </c>
    </row>
    <row r="160" spans="1:4" x14ac:dyDescent="0.3">
      <c r="A160">
        <v>91</v>
      </c>
      <c r="B160">
        <v>95074.724068491545</v>
      </c>
      <c r="C160">
        <v>27225.275931508455</v>
      </c>
      <c r="D160">
        <v>0.81088911028464883</v>
      </c>
    </row>
    <row r="161" spans="1:4" x14ac:dyDescent="0.3">
      <c r="A161">
        <v>92</v>
      </c>
      <c r="B161">
        <v>113659.52572046594</v>
      </c>
      <c r="C161">
        <v>-32929.525720465943</v>
      </c>
      <c r="D161">
        <v>-0.98078689379456419</v>
      </c>
    </row>
    <row r="162" spans="1:4" x14ac:dyDescent="0.3">
      <c r="A162">
        <v>93</v>
      </c>
      <c r="B162">
        <v>78731.288564862596</v>
      </c>
      <c r="C162">
        <v>-13080.288564862596</v>
      </c>
      <c r="D162">
        <v>-0.38958883587852106</v>
      </c>
    </row>
    <row r="163" spans="1:4" x14ac:dyDescent="0.3">
      <c r="A163">
        <v>94</v>
      </c>
      <c r="B163">
        <v>74096.0807601626</v>
      </c>
      <c r="C163">
        <v>-30554.0807601626</v>
      </c>
      <c r="D163">
        <v>-0.91003563840834178</v>
      </c>
    </row>
    <row r="164" spans="1:4" x14ac:dyDescent="0.3">
      <c r="A164">
        <v>95</v>
      </c>
      <c r="B164">
        <v>127523.30089058002</v>
      </c>
      <c r="C164">
        <v>-48722.300890580023</v>
      </c>
      <c r="D164">
        <v>-1.4511655756795987</v>
      </c>
    </row>
    <row r="165" spans="1:4" x14ac:dyDescent="0.3">
      <c r="A165">
        <v>96</v>
      </c>
      <c r="B165">
        <v>103050.08670640018</v>
      </c>
      <c r="C165">
        <v>21522.91329359982</v>
      </c>
      <c r="D165">
        <v>0.64104753447814944</v>
      </c>
    </row>
    <row r="166" spans="1:4" x14ac:dyDescent="0.3">
      <c r="A166">
        <v>97</v>
      </c>
      <c r="B166">
        <v>75834.639859946808</v>
      </c>
      <c r="C166">
        <v>-33438.639859946808</v>
      </c>
      <c r="D166">
        <v>-0.99595056422477612</v>
      </c>
    </row>
    <row r="167" spans="1:4" x14ac:dyDescent="0.3">
      <c r="A167">
        <v>98</v>
      </c>
      <c r="B167">
        <v>64863.413585745446</v>
      </c>
      <c r="C167">
        <v>-19329.413585745446</v>
      </c>
      <c r="D167">
        <v>-0.57571541329097142</v>
      </c>
    </row>
    <row r="168" spans="1:4" x14ac:dyDescent="0.3">
      <c r="A168">
        <v>99</v>
      </c>
      <c r="B168">
        <v>52669.559150775298</v>
      </c>
      <c r="C168">
        <v>52395.440849224702</v>
      </c>
      <c r="D168">
        <v>1.5605679266607058</v>
      </c>
    </row>
    <row r="169" spans="1:4" ht="15" thickBot="1" x14ac:dyDescent="0.35">
      <c r="A169" s="1">
        <v>100</v>
      </c>
      <c r="B169" s="1">
        <v>97545.59892015619</v>
      </c>
      <c r="C169" s="1">
        <v>7284.4010798438103</v>
      </c>
      <c r="D169" s="1">
        <v>0.21696167654833409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9625-670E-48E2-90F6-645B27C70E23}">
  <dimension ref="A1:I159"/>
  <sheetViews>
    <sheetView zoomScale="80" zoomScaleNormal="100" workbookViewId="0">
      <selection activeCell="F59" sqref="F59"/>
    </sheetView>
  </sheetViews>
  <sheetFormatPr defaultRowHeight="14.4" x14ac:dyDescent="0.3"/>
  <cols>
    <col min="1" max="1" width="21.109375" bestFit="1" customWidth="1"/>
    <col min="2" max="2" width="23.77734375" bestFit="1" customWidth="1"/>
    <col min="3" max="3" width="15.109375" customWidth="1"/>
    <col min="4" max="4" width="17.33203125" bestFit="1" customWidth="1"/>
    <col min="5" max="5" width="14.33203125" bestFit="1" customWidth="1"/>
    <col min="6" max="6" width="15.5546875" bestFit="1" customWidth="1"/>
    <col min="7" max="7" width="15.109375" customWidth="1"/>
    <col min="8" max="8" width="15.44140625" bestFit="1" customWidth="1"/>
    <col min="9" max="9" width="12.88671875" bestFit="1" customWidth="1"/>
    <col min="14" max="14" width="21" bestFit="1" customWidth="1"/>
    <col min="27" max="27" width="19.33203125" bestFit="1" customWidth="1"/>
  </cols>
  <sheetData>
    <row r="1" spans="1:8" ht="21" x14ac:dyDescent="0.4">
      <c r="A1" s="10" t="s">
        <v>94</v>
      </c>
      <c r="B1" s="13" t="s">
        <v>103</v>
      </c>
    </row>
    <row r="3" spans="1:8" ht="21" x14ac:dyDescent="0.4">
      <c r="A3" s="10" t="s">
        <v>99</v>
      </c>
      <c r="B3" s="13" t="s">
        <v>102</v>
      </c>
    </row>
    <row r="5" spans="1:8" ht="15" thickBot="1" x14ac:dyDescent="0.35">
      <c r="A5" t="s">
        <v>45</v>
      </c>
    </row>
    <row r="6" spans="1:8" x14ac:dyDescent="0.3">
      <c r="A6" s="2"/>
      <c r="B6" s="2" t="s">
        <v>6</v>
      </c>
      <c r="C6" s="2" t="s">
        <v>7</v>
      </c>
      <c r="D6" s="2" t="s">
        <v>8</v>
      </c>
      <c r="E6" s="2" t="s">
        <v>9</v>
      </c>
      <c r="F6" s="2" t="s">
        <v>10</v>
      </c>
      <c r="G6" s="2" t="s">
        <v>11</v>
      </c>
      <c r="H6" s="2" t="s">
        <v>0</v>
      </c>
    </row>
    <row r="7" spans="1:8" x14ac:dyDescent="0.3">
      <c r="A7" t="s">
        <v>6</v>
      </c>
      <c r="B7">
        <v>1</v>
      </c>
    </row>
    <row r="8" spans="1:8" x14ac:dyDescent="0.3">
      <c r="A8" t="s">
        <v>7</v>
      </c>
      <c r="B8">
        <v>9.9930880362823882E-2</v>
      </c>
      <c r="C8">
        <v>1</v>
      </c>
    </row>
    <row r="9" spans="1:8" x14ac:dyDescent="0.3">
      <c r="A9" t="s">
        <v>8</v>
      </c>
      <c r="B9">
        <v>-4.0407801382785574E-2</v>
      </c>
      <c r="C9">
        <v>3.3235082274236339E-3</v>
      </c>
      <c r="D9">
        <v>1</v>
      </c>
    </row>
    <row r="10" spans="1:8" x14ac:dyDescent="0.3">
      <c r="A10" t="s">
        <v>9</v>
      </c>
      <c r="B10">
        <v>0.77762416684023072</v>
      </c>
      <c r="C10">
        <v>4.8505903549560359E-2</v>
      </c>
      <c r="D10">
        <v>-3.6659423751225606E-2</v>
      </c>
      <c r="E10">
        <v>1</v>
      </c>
    </row>
    <row r="11" spans="1:8" x14ac:dyDescent="0.3">
      <c r="A11" t="s">
        <v>10</v>
      </c>
      <c r="B11">
        <v>0.29095915203729961</v>
      </c>
      <c r="C11">
        <v>6.2964750409938333E-2</v>
      </c>
      <c r="D11">
        <v>-0.16726129791141839</v>
      </c>
      <c r="E11">
        <v>0.16780287674622982</v>
      </c>
      <c r="F11">
        <v>1</v>
      </c>
    </row>
    <row r="12" spans="1:8" x14ac:dyDescent="0.3">
      <c r="A12" t="s">
        <v>11</v>
      </c>
      <c r="B12">
        <v>4.0224151864506646E-2</v>
      </c>
      <c r="C12">
        <v>-2.125179605625486E-3</v>
      </c>
      <c r="D12">
        <v>2.2653102876853692E-2</v>
      </c>
      <c r="E12">
        <v>-5.6839944974988676E-2</v>
      </c>
      <c r="F12">
        <v>8.9833506229592366E-2</v>
      </c>
      <c r="G12">
        <v>1</v>
      </c>
    </row>
    <row r="13" spans="1:8" ht="15" thickBot="1" x14ac:dyDescent="0.35">
      <c r="A13" s="1" t="s">
        <v>0</v>
      </c>
      <c r="B13" s="1">
        <v>0.28790690618364378</v>
      </c>
      <c r="C13" s="1">
        <v>0.21478430351106365</v>
      </c>
      <c r="D13" s="1">
        <v>7.4820574575968427E-2</v>
      </c>
      <c r="E13" s="1">
        <v>0.37946596446726766</v>
      </c>
      <c r="F13" s="1">
        <v>0.24979648363352203</v>
      </c>
      <c r="G13" s="1">
        <v>0.23575035790705207</v>
      </c>
      <c r="H13" s="1">
        <v>1</v>
      </c>
    </row>
    <row r="15" spans="1:8" x14ac:dyDescent="0.3">
      <c r="A15" t="s">
        <v>104</v>
      </c>
      <c r="B15" t="s">
        <v>108</v>
      </c>
    </row>
    <row r="16" spans="1:8" x14ac:dyDescent="0.3">
      <c r="B16" t="s">
        <v>105</v>
      </c>
    </row>
    <row r="17" spans="1:6" x14ac:dyDescent="0.3">
      <c r="B17" t="s">
        <v>106</v>
      </c>
    </row>
    <row r="19" spans="1:6" ht="21" x14ac:dyDescent="0.4">
      <c r="A19" s="10" t="s">
        <v>101</v>
      </c>
      <c r="B19" s="13" t="s">
        <v>107</v>
      </c>
    </row>
    <row r="21" spans="1:6" x14ac:dyDescent="0.3">
      <c r="A21" t="s">
        <v>46</v>
      </c>
    </row>
    <row r="22" spans="1:6" ht="15" thickBot="1" x14ac:dyDescent="0.35"/>
    <row r="23" spans="1:6" x14ac:dyDescent="0.3">
      <c r="A23" s="8" t="s">
        <v>47</v>
      </c>
      <c r="B23" s="8"/>
    </row>
    <row r="24" spans="1:6" x14ac:dyDescent="0.3">
      <c r="A24" t="s">
        <v>48</v>
      </c>
      <c r="B24">
        <v>0.93330254535966939</v>
      </c>
    </row>
    <row r="25" spans="1:6" x14ac:dyDescent="0.3">
      <c r="A25" t="s">
        <v>49</v>
      </c>
      <c r="B25">
        <v>0.87105364117483774</v>
      </c>
    </row>
    <row r="26" spans="1:6" x14ac:dyDescent="0.3">
      <c r="A26" t="s">
        <v>50</v>
      </c>
      <c r="B26">
        <v>0.84619651176275823</v>
      </c>
    </row>
    <row r="27" spans="1:6" x14ac:dyDescent="0.3">
      <c r="A27" t="s">
        <v>27</v>
      </c>
      <c r="B27">
        <v>15696.726015921453</v>
      </c>
    </row>
    <row r="28" spans="1:6" ht="15" thickBot="1" x14ac:dyDescent="0.35">
      <c r="A28" s="1" t="s">
        <v>51</v>
      </c>
      <c r="B28" s="1">
        <v>100</v>
      </c>
    </row>
    <row r="30" spans="1:6" ht="15" thickBot="1" x14ac:dyDescent="0.35">
      <c r="A30" t="s">
        <v>52</v>
      </c>
    </row>
    <row r="31" spans="1:6" x14ac:dyDescent="0.3">
      <c r="A31" s="2"/>
      <c r="B31" s="2" t="s">
        <v>56</v>
      </c>
      <c r="C31" s="2" t="s">
        <v>57</v>
      </c>
      <c r="D31" s="2" t="s">
        <v>58</v>
      </c>
      <c r="E31" s="2" t="s">
        <v>59</v>
      </c>
      <c r="F31" s="2" t="s">
        <v>60</v>
      </c>
    </row>
    <row r="32" spans="1:6" x14ac:dyDescent="0.3">
      <c r="A32" t="s">
        <v>53</v>
      </c>
      <c r="B32">
        <v>16</v>
      </c>
      <c r="C32">
        <v>138144012224.39078</v>
      </c>
      <c r="D32">
        <v>8634000764.0244236</v>
      </c>
      <c r="E32">
        <v>35.042406817560497</v>
      </c>
      <c r="F32">
        <v>3.7469268572096286E-30</v>
      </c>
    </row>
    <row r="33" spans="1:9" x14ac:dyDescent="0.3">
      <c r="A33" t="s">
        <v>54</v>
      </c>
      <c r="B33">
        <v>83</v>
      </c>
      <c r="C33">
        <v>20450138232.369144</v>
      </c>
      <c r="D33">
        <v>246387207.61890537</v>
      </c>
    </row>
    <row r="34" spans="1:9" ht="15" thickBot="1" x14ac:dyDescent="0.35">
      <c r="A34" s="1" t="s">
        <v>43</v>
      </c>
      <c r="B34" s="1">
        <v>99</v>
      </c>
      <c r="C34" s="1">
        <v>158594150456.75992</v>
      </c>
      <c r="D34" s="1"/>
      <c r="E34" s="1"/>
      <c r="F34" s="1"/>
    </row>
    <row r="35" spans="1:9" ht="15" thickBot="1" x14ac:dyDescent="0.35"/>
    <row r="36" spans="1:9" x14ac:dyDescent="0.3">
      <c r="A36" s="2"/>
      <c r="B36" s="2" t="s">
        <v>61</v>
      </c>
      <c r="C36" s="2" t="s">
        <v>27</v>
      </c>
      <c r="D36" s="2" t="s">
        <v>62</v>
      </c>
      <c r="E36" s="2" t="s">
        <v>63</v>
      </c>
      <c r="F36" s="2" t="s">
        <v>64</v>
      </c>
      <c r="G36" s="2" t="s">
        <v>65</v>
      </c>
      <c r="H36" s="2" t="s">
        <v>66</v>
      </c>
      <c r="I36" s="2" t="s">
        <v>67</v>
      </c>
    </row>
    <row r="37" spans="1:9" x14ac:dyDescent="0.3">
      <c r="A37" t="s">
        <v>55</v>
      </c>
      <c r="B37">
        <v>-45317.940224694998</v>
      </c>
      <c r="C37">
        <v>18982.119692189568</v>
      </c>
      <c r="D37">
        <v>-2.3874014577698417</v>
      </c>
      <c r="E37">
        <v>1.9239850442252491E-2</v>
      </c>
      <c r="F37">
        <v>-83072.612834931002</v>
      </c>
      <c r="G37">
        <v>-7563.2676144589932</v>
      </c>
      <c r="H37">
        <v>-83072.612834931002</v>
      </c>
      <c r="I37">
        <v>-7563.2676144589932</v>
      </c>
    </row>
    <row r="38" spans="1:9" x14ac:dyDescent="0.3">
      <c r="A38" t="s">
        <v>7</v>
      </c>
      <c r="B38">
        <v>1400.3553835027658</v>
      </c>
      <c r="C38">
        <v>229.64543829416485</v>
      </c>
      <c r="D38">
        <v>6.0979020262922763</v>
      </c>
      <c r="E38">
        <v>3.2593166221447863E-8</v>
      </c>
      <c r="F38">
        <v>943.59984303497458</v>
      </c>
      <c r="G38">
        <v>1857.110923970557</v>
      </c>
      <c r="H38">
        <v>943.59984303497458</v>
      </c>
      <c r="I38">
        <v>1857.110923970557</v>
      </c>
    </row>
    <row r="39" spans="1:9" x14ac:dyDescent="0.3">
      <c r="A39" t="s">
        <v>8</v>
      </c>
      <c r="B39">
        <v>1687.6423833261308</v>
      </c>
      <c r="C39">
        <v>329.61285918087754</v>
      </c>
      <c r="D39">
        <v>5.1200744640852269</v>
      </c>
      <c r="E39">
        <v>1.9455310222001839E-6</v>
      </c>
      <c r="F39">
        <v>1032.0556633868255</v>
      </c>
      <c r="G39">
        <v>2343.2291032654362</v>
      </c>
      <c r="H39">
        <v>1032.0556633868255</v>
      </c>
      <c r="I39">
        <v>2343.2291032654362</v>
      </c>
    </row>
    <row r="40" spans="1:9" x14ac:dyDescent="0.3">
      <c r="A40" t="s">
        <v>9</v>
      </c>
      <c r="B40">
        <v>2710.6105898335904</v>
      </c>
      <c r="C40">
        <v>435.26945490951613</v>
      </c>
      <c r="D40">
        <v>6.2274312136078382</v>
      </c>
      <c r="E40">
        <v>1.8597077308770369E-8</v>
      </c>
      <c r="F40">
        <v>1844.877150479796</v>
      </c>
      <c r="G40">
        <v>3576.3440291873849</v>
      </c>
      <c r="H40">
        <v>1844.877150479796</v>
      </c>
      <c r="I40">
        <v>3576.3440291873849</v>
      </c>
    </row>
    <row r="41" spans="1:9" x14ac:dyDescent="0.3">
      <c r="A41" t="s">
        <v>10</v>
      </c>
      <c r="B41">
        <v>2.0903071112641256</v>
      </c>
      <c r="C41">
        <v>0.41443294161987948</v>
      </c>
      <c r="D41">
        <v>5.0437764505249403</v>
      </c>
      <c r="E41">
        <v>2.6425354502327631E-6</v>
      </c>
      <c r="F41">
        <v>1.2660166588025037</v>
      </c>
      <c r="G41">
        <v>2.9145975637257475</v>
      </c>
      <c r="H41">
        <v>1.2660166588025037</v>
      </c>
      <c r="I41">
        <v>2.9145975637257475</v>
      </c>
    </row>
    <row r="42" spans="1:9" x14ac:dyDescent="0.3">
      <c r="A42" t="s">
        <v>11</v>
      </c>
      <c r="B42">
        <v>18136.608736048336</v>
      </c>
      <c r="C42">
        <v>3267.4343980974713</v>
      </c>
      <c r="D42">
        <v>5.5507185535564956</v>
      </c>
      <c r="E42">
        <v>3.3279591186904919E-7</v>
      </c>
      <c r="F42">
        <v>11637.813133871623</v>
      </c>
      <c r="G42">
        <v>24635.404338225049</v>
      </c>
      <c r="H42">
        <v>11637.813133871623</v>
      </c>
      <c r="I42">
        <v>24635.404338225049</v>
      </c>
    </row>
    <row r="43" spans="1:9" x14ac:dyDescent="0.3">
      <c r="A43" t="s">
        <v>73</v>
      </c>
      <c r="B43">
        <v>-21906.508177449145</v>
      </c>
      <c r="C43">
        <v>4642.6354207070326</v>
      </c>
      <c r="D43">
        <v>-4.7185501751315586</v>
      </c>
      <c r="E43">
        <v>9.5079280929137689E-6</v>
      </c>
      <c r="F43">
        <v>-31140.523303252034</v>
      </c>
      <c r="G43">
        <v>-12672.493051646257</v>
      </c>
      <c r="H43">
        <v>-31140.523303252034</v>
      </c>
      <c r="I43">
        <v>-12672.493051646257</v>
      </c>
    </row>
    <row r="44" spans="1:9" x14ac:dyDescent="0.3">
      <c r="A44" t="s">
        <v>74</v>
      </c>
      <c r="B44">
        <v>14610.191469767162</v>
      </c>
      <c r="C44">
        <v>4629.208590640108</v>
      </c>
      <c r="D44">
        <v>3.156088386102931</v>
      </c>
      <c r="E44">
        <v>2.2284964887117828E-3</v>
      </c>
      <c r="F44">
        <v>5402.8817689426342</v>
      </c>
      <c r="G44">
        <v>23817.501170591691</v>
      </c>
      <c r="H44">
        <v>5402.8817689426342</v>
      </c>
      <c r="I44">
        <v>23817.501170591691</v>
      </c>
    </row>
    <row r="45" spans="1:9" x14ac:dyDescent="0.3">
      <c r="A45" t="s">
        <v>75</v>
      </c>
      <c r="B45">
        <v>27633.371084883576</v>
      </c>
      <c r="C45">
        <v>4582.0327058262283</v>
      </c>
      <c r="D45">
        <v>6.0308105286430402</v>
      </c>
      <c r="E45">
        <v>4.3518487008779E-8</v>
      </c>
      <c r="F45">
        <v>18519.892321548032</v>
      </c>
      <c r="G45">
        <v>36746.849848219121</v>
      </c>
      <c r="H45">
        <v>18519.892321548032</v>
      </c>
      <c r="I45">
        <v>36746.849848219121</v>
      </c>
    </row>
    <row r="46" spans="1:9" x14ac:dyDescent="0.3">
      <c r="A46" t="s">
        <v>76</v>
      </c>
      <c r="B46">
        <v>-17207.53412925309</v>
      </c>
      <c r="C46">
        <v>5030.9606234127623</v>
      </c>
      <c r="D46">
        <v>-3.4203277300907047</v>
      </c>
      <c r="E46">
        <v>9.7245222700027638E-4</v>
      </c>
      <c r="F46">
        <v>-27213.912464866044</v>
      </c>
      <c r="G46">
        <v>-7201.1557936401387</v>
      </c>
      <c r="H46">
        <v>-27213.912464866044</v>
      </c>
      <c r="I46">
        <v>-7201.1557936401387</v>
      </c>
    </row>
    <row r="47" spans="1:9" x14ac:dyDescent="0.3">
      <c r="A47" t="s">
        <v>77</v>
      </c>
      <c r="B47">
        <v>-25114.561463981656</v>
      </c>
      <c r="C47">
        <v>4799.2749916635721</v>
      </c>
      <c r="D47">
        <v>-5.2329907137236571</v>
      </c>
      <c r="E47">
        <v>1.2318982642178322E-6</v>
      </c>
      <c r="F47">
        <v>-34660.126396400992</v>
      </c>
      <c r="G47">
        <v>-15568.996531562318</v>
      </c>
      <c r="H47">
        <v>-34660.126396400992</v>
      </c>
      <c r="I47">
        <v>-15568.996531562318</v>
      </c>
    </row>
    <row r="48" spans="1:9" x14ac:dyDescent="0.3">
      <c r="A48" t="s">
        <v>78</v>
      </c>
      <c r="B48">
        <v>-4800.5787609131394</v>
      </c>
      <c r="C48">
        <v>5217.5061932032468</v>
      </c>
      <c r="D48">
        <v>-0.92009066844362708</v>
      </c>
      <c r="E48">
        <v>0.36019181732480199</v>
      </c>
      <c r="F48">
        <v>-15177.988732009224</v>
      </c>
      <c r="G48">
        <v>5576.8312101829442</v>
      </c>
      <c r="H48">
        <v>-15177.988732009224</v>
      </c>
      <c r="I48">
        <v>5576.8312101829442</v>
      </c>
    </row>
    <row r="49" spans="1:9" x14ac:dyDescent="0.3">
      <c r="A49" t="s">
        <v>79</v>
      </c>
      <c r="B49">
        <v>-26643.15418249603</v>
      </c>
      <c r="C49">
        <v>5616.227091544316</v>
      </c>
      <c r="D49">
        <v>-4.7439595565160557</v>
      </c>
      <c r="E49">
        <v>8.6158630969491418E-6</v>
      </c>
      <c r="F49">
        <v>-37813.603983907808</v>
      </c>
      <c r="G49">
        <v>-15472.70438108425</v>
      </c>
      <c r="H49">
        <v>-37813.603983907808</v>
      </c>
      <c r="I49">
        <v>-15472.70438108425</v>
      </c>
    </row>
    <row r="50" spans="1:9" x14ac:dyDescent="0.3">
      <c r="A50" t="s">
        <v>80</v>
      </c>
      <c r="B50">
        <v>-75361.827609055035</v>
      </c>
      <c r="C50">
        <v>4914.8701836680111</v>
      </c>
      <c r="D50">
        <v>-15.333431971302208</v>
      </c>
      <c r="E50">
        <v>6.158952570708094E-26</v>
      </c>
      <c r="F50">
        <v>-85137.306729152828</v>
      </c>
      <c r="G50">
        <v>-65586.348488957243</v>
      </c>
      <c r="H50">
        <v>-85137.306729152828</v>
      </c>
      <c r="I50">
        <v>-65586.348488957243</v>
      </c>
    </row>
    <row r="51" spans="1:9" x14ac:dyDescent="0.3">
      <c r="A51" t="s">
        <v>81</v>
      </c>
      <c r="B51">
        <v>-48754.770796447548</v>
      </c>
      <c r="C51">
        <v>4583.0602530239912</v>
      </c>
      <c r="D51">
        <v>-10.638038364055593</v>
      </c>
      <c r="E51">
        <v>3.585571935081642E-17</v>
      </c>
      <c r="F51">
        <v>-57870.293309831672</v>
      </c>
      <c r="G51">
        <v>-39639.248283063425</v>
      </c>
      <c r="H51">
        <v>-57870.293309831672</v>
      </c>
      <c r="I51">
        <v>-39639.248283063425</v>
      </c>
    </row>
    <row r="52" spans="1:9" x14ac:dyDescent="0.3">
      <c r="A52" t="s">
        <v>82</v>
      </c>
      <c r="B52">
        <v>2212.2557001270716</v>
      </c>
      <c r="C52">
        <v>3656.6033916360752</v>
      </c>
      <c r="D52">
        <v>0.60500291204325585</v>
      </c>
      <c r="E52">
        <v>0.54682762442918298</v>
      </c>
      <c r="F52">
        <v>-5060.5813778891743</v>
      </c>
      <c r="G52">
        <v>9485.0927781433165</v>
      </c>
      <c r="H52">
        <v>-5060.5813778891743</v>
      </c>
      <c r="I52">
        <v>9485.0927781433165</v>
      </c>
    </row>
    <row r="53" spans="1:9" ht="15" thickBot="1" x14ac:dyDescent="0.35">
      <c r="A53" s="1" t="s">
        <v>83</v>
      </c>
      <c r="B53" s="1">
        <v>9117.1353243342655</v>
      </c>
      <c r="C53" s="1">
        <v>3546.3165334935497</v>
      </c>
      <c r="D53" s="1">
        <v>2.5708746633941293</v>
      </c>
      <c r="E53" s="1">
        <v>1.1928430599617767E-2</v>
      </c>
      <c r="F53" s="1">
        <v>2063.6543714453874</v>
      </c>
      <c r="G53" s="1">
        <v>16170.616277223144</v>
      </c>
      <c r="H53" s="1">
        <v>2063.6543714453874</v>
      </c>
      <c r="I53" s="1">
        <v>16170.616277223144</v>
      </c>
    </row>
    <row r="57" spans="1:9" x14ac:dyDescent="0.3">
      <c r="A57" t="s">
        <v>68</v>
      </c>
    </row>
    <row r="58" spans="1:9" ht="15" thickBot="1" x14ac:dyDescent="0.35"/>
    <row r="59" spans="1:9" x14ac:dyDescent="0.3">
      <c r="A59" s="2" t="s">
        <v>69</v>
      </c>
      <c r="B59" s="2" t="s">
        <v>70</v>
      </c>
      <c r="C59" s="2" t="s">
        <v>71</v>
      </c>
      <c r="D59" s="2" t="s">
        <v>72</v>
      </c>
      <c r="F59" s="13" t="s">
        <v>118</v>
      </c>
    </row>
    <row r="60" spans="1:9" x14ac:dyDescent="0.3">
      <c r="A60">
        <v>1</v>
      </c>
      <c r="B60">
        <v>100807.47791138984</v>
      </c>
      <c r="C60">
        <v>-17728.47791138984</v>
      </c>
      <c r="D60">
        <v>-1.2335050274984802</v>
      </c>
    </row>
    <row r="61" spans="1:9" x14ac:dyDescent="0.3">
      <c r="A61">
        <v>2</v>
      </c>
      <c r="B61">
        <v>24523.832029036043</v>
      </c>
      <c r="C61">
        <v>6935.1679709639575</v>
      </c>
      <c r="D61">
        <v>0.48253237539554988</v>
      </c>
    </row>
    <row r="62" spans="1:9" x14ac:dyDescent="0.3">
      <c r="A62">
        <v>3</v>
      </c>
      <c r="B62">
        <v>122144.75463084929</v>
      </c>
      <c r="C62">
        <v>11652.245369150711</v>
      </c>
      <c r="D62">
        <v>0.8107353217987846</v>
      </c>
    </row>
    <row r="63" spans="1:9" x14ac:dyDescent="0.3">
      <c r="A63">
        <v>4</v>
      </c>
      <c r="B63">
        <v>62175.607330146333</v>
      </c>
      <c r="C63">
        <v>-20436.607330146333</v>
      </c>
      <c r="D63">
        <v>-1.4219301855887041</v>
      </c>
    </row>
    <row r="64" spans="1:9" x14ac:dyDescent="0.3">
      <c r="A64">
        <v>5</v>
      </c>
      <c r="B64">
        <v>67320.380793931021</v>
      </c>
      <c r="C64">
        <v>625.61920606897911</v>
      </c>
      <c r="D64">
        <v>4.3529085793084593E-2</v>
      </c>
    </row>
    <row r="65" spans="1:4" x14ac:dyDescent="0.3">
      <c r="A65">
        <v>6</v>
      </c>
      <c r="B65">
        <v>69028.439256566169</v>
      </c>
      <c r="C65">
        <v>9847.5607434338308</v>
      </c>
      <c r="D65">
        <v>0.68516968835876935</v>
      </c>
    </row>
    <row r="66" spans="1:4" x14ac:dyDescent="0.3">
      <c r="A66">
        <v>7</v>
      </c>
      <c r="B66">
        <v>124128.07014548755</v>
      </c>
      <c r="C66">
        <v>2548.9298545124475</v>
      </c>
      <c r="D66">
        <v>0.17734843374580417</v>
      </c>
    </row>
    <row r="67" spans="1:4" x14ac:dyDescent="0.3">
      <c r="A67">
        <v>8</v>
      </c>
      <c r="B67">
        <v>82087.590458251099</v>
      </c>
      <c r="C67">
        <v>-4106.5904582510993</v>
      </c>
      <c r="D67">
        <v>-0.28572672744091793</v>
      </c>
    </row>
    <row r="68" spans="1:4" x14ac:dyDescent="0.3">
      <c r="A68">
        <v>9</v>
      </c>
      <c r="B68">
        <v>39373.799305947461</v>
      </c>
      <c r="C68">
        <v>10922.200694052539</v>
      </c>
      <c r="D68">
        <v>0.75994056200423143</v>
      </c>
    </row>
    <row r="69" spans="1:4" x14ac:dyDescent="0.3">
      <c r="A69">
        <v>10</v>
      </c>
      <c r="B69">
        <v>37489.974142346335</v>
      </c>
      <c r="C69">
        <v>812.0258576536653</v>
      </c>
      <c r="D69">
        <v>5.6498814104681203E-2</v>
      </c>
    </row>
    <row r="70" spans="1:4" x14ac:dyDescent="0.3">
      <c r="A70">
        <v>11</v>
      </c>
      <c r="B70">
        <v>83343.398400499573</v>
      </c>
      <c r="C70">
        <v>-24622.398400499573</v>
      </c>
      <c r="D70">
        <v>-1.7131675019079928</v>
      </c>
    </row>
    <row r="71" spans="1:4" x14ac:dyDescent="0.3">
      <c r="A71">
        <v>12</v>
      </c>
      <c r="B71">
        <v>47487.620996956633</v>
      </c>
      <c r="C71">
        <v>-8767.6209969566335</v>
      </c>
      <c r="D71">
        <v>-0.61003006761223988</v>
      </c>
    </row>
    <row r="72" spans="1:4" x14ac:dyDescent="0.3">
      <c r="A72">
        <v>13</v>
      </c>
      <c r="B72">
        <v>60816.153877912533</v>
      </c>
      <c r="C72">
        <v>-10149.153877912533</v>
      </c>
      <c r="D72">
        <v>-0.70615381624035689</v>
      </c>
    </row>
    <row r="73" spans="1:4" x14ac:dyDescent="0.3">
      <c r="A73">
        <v>14</v>
      </c>
      <c r="B73">
        <v>28354.989517728016</v>
      </c>
      <c r="C73">
        <v>9217.0104822719841</v>
      </c>
      <c r="D73">
        <v>0.64129751156383308</v>
      </c>
    </row>
    <row r="74" spans="1:4" x14ac:dyDescent="0.3">
      <c r="A74">
        <v>15</v>
      </c>
      <c r="B74">
        <v>61792.412772842858</v>
      </c>
      <c r="C74">
        <v>2243.5872271571425</v>
      </c>
      <c r="D74">
        <v>0.15610342513113984</v>
      </c>
    </row>
    <row r="75" spans="1:4" x14ac:dyDescent="0.3">
      <c r="A75">
        <v>16</v>
      </c>
      <c r="B75">
        <v>97695.630056307273</v>
      </c>
      <c r="C75">
        <v>1215.3699436927272</v>
      </c>
      <c r="D75">
        <v>8.4562529468611078E-2</v>
      </c>
    </row>
    <row r="76" spans="1:4" x14ac:dyDescent="0.3">
      <c r="A76">
        <v>17</v>
      </c>
      <c r="B76">
        <v>58128.520555856026</v>
      </c>
      <c r="C76">
        <v>7356.4794441439735</v>
      </c>
      <c r="D76">
        <v>0.51184621851890455</v>
      </c>
    </row>
    <row r="77" spans="1:4" x14ac:dyDescent="0.3">
      <c r="A77">
        <v>18</v>
      </c>
      <c r="B77">
        <v>68941.575026638951</v>
      </c>
      <c r="C77">
        <v>-11394.575026638951</v>
      </c>
      <c r="D77">
        <v>-0.79280723657262353</v>
      </c>
    </row>
    <row r="78" spans="1:4" x14ac:dyDescent="0.3">
      <c r="A78">
        <v>19</v>
      </c>
      <c r="B78">
        <v>46818.850749496771</v>
      </c>
      <c r="C78">
        <v>-3513.8507494967707</v>
      </c>
      <c r="D78">
        <v>-0.24448531831370143</v>
      </c>
    </row>
    <row r="79" spans="1:4" x14ac:dyDescent="0.3">
      <c r="A79">
        <v>20</v>
      </c>
      <c r="B79">
        <v>181100.69681861438</v>
      </c>
      <c r="C79">
        <v>51824.303181385621</v>
      </c>
      <c r="D79">
        <v>3.6058108789911989</v>
      </c>
    </row>
    <row r="80" spans="1:4" x14ac:dyDescent="0.3">
      <c r="A80">
        <v>21</v>
      </c>
      <c r="B80">
        <v>73127.351850300067</v>
      </c>
      <c r="C80">
        <v>-5851.3518503000669</v>
      </c>
      <c r="D80">
        <v>-0.40712304581831027</v>
      </c>
    </row>
    <row r="81" spans="1:4" x14ac:dyDescent="0.3">
      <c r="A81">
        <v>22</v>
      </c>
      <c r="B81">
        <v>76040.609118658453</v>
      </c>
      <c r="C81">
        <v>6284.3908813415474</v>
      </c>
      <c r="D81">
        <v>0.43725286432628058</v>
      </c>
    </row>
    <row r="82" spans="1:4" x14ac:dyDescent="0.3">
      <c r="A82">
        <v>23</v>
      </c>
      <c r="B82">
        <v>20649.535922380655</v>
      </c>
      <c r="C82">
        <v>20953.464077619345</v>
      </c>
      <c r="D82">
        <v>1.4578918400347902</v>
      </c>
    </row>
    <row r="83" spans="1:4" x14ac:dyDescent="0.3">
      <c r="A83">
        <v>24</v>
      </c>
      <c r="B83">
        <v>79184.59010744188</v>
      </c>
      <c r="C83">
        <v>-14647.59010744188</v>
      </c>
      <c r="D83">
        <v>-1.0191442338464192</v>
      </c>
    </row>
    <row r="84" spans="1:4" x14ac:dyDescent="0.3">
      <c r="A84">
        <v>25</v>
      </c>
      <c r="B84">
        <v>138564.57578776759</v>
      </c>
      <c r="C84">
        <v>-3411.5757877675933</v>
      </c>
      <c r="D84">
        <v>-0.23736927145899067</v>
      </c>
    </row>
    <row r="85" spans="1:4" x14ac:dyDescent="0.3">
      <c r="A85">
        <v>26</v>
      </c>
      <c r="B85">
        <v>197051.59743951337</v>
      </c>
      <c r="C85">
        <v>50285.402560486633</v>
      </c>
      <c r="D85">
        <v>3.4987378599656966</v>
      </c>
    </row>
    <row r="86" spans="1:4" x14ac:dyDescent="0.3">
      <c r="A86">
        <v>27</v>
      </c>
      <c r="B86">
        <v>103913.88126622577</v>
      </c>
      <c r="C86">
        <v>-16965.88126622577</v>
      </c>
      <c r="D86">
        <v>-1.1804453795994909</v>
      </c>
    </row>
    <row r="87" spans="1:4" x14ac:dyDescent="0.3">
      <c r="A87">
        <v>28</v>
      </c>
      <c r="B87">
        <v>18779.262362589681</v>
      </c>
      <c r="C87">
        <v>10503.737637410319</v>
      </c>
      <c r="D87">
        <v>0.73082490488067553</v>
      </c>
    </row>
    <row r="88" spans="1:4" x14ac:dyDescent="0.3">
      <c r="A88">
        <v>29</v>
      </c>
      <c r="B88">
        <v>88795.910841176694</v>
      </c>
      <c r="C88">
        <v>-25362.910841176694</v>
      </c>
      <c r="D88">
        <v>-1.764690583757764</v>
      </c>
    </row>
    <row r="89" spans="1:4" x14ac:dyDescent="0.3">
      <c r="A89">
        <v>30</v>
      </c>
      <c r="B89">
        <v>101125.13891332923</v>
      </c>
      <c r="C89">
        <v>-8199.138913329225</v>
      </c>
      <c r="D89">
        <v>-0.57047644593630853</v>
      </c>
    </row>
    <row r="90" spans="1:4" x14ac:dyDescent="0.3">
      <c r="A90">
        <v>31</v>
      </c>
      <c r="B90">
        <v>119812.2512269</v>
      </c>
      <c r="C90">
        <v>-2019.2512268999999</v>
      </c>
      <c r="D90">
        <v>-0.14049466359226545</v>
      </c>
    </row>
    <row r="91" spans="1:4" x14ac:dyDescent="0.3">
      <c r="A91">
        <v>32</v>
      </c>
      <c r="B91">
        <v>19964.099509354659</v>
      </c>
      <c r="C91">
        <v>18951.900490645341</v>
      </c>
      <c r="D91">
        <v>1.31862784006082</v>
      </c>
    </row>
    <row r="92" spans="1:4" x14ac:dyDescent="0.3">
      <c r="A92">
        <v>33</v>
      </c>
      <c r="B92">
        <v>77258.058166022907</v>
      </c>
      <c r="C92">
        <v>-5441.0581660229072</v>
      </c>
      <c r="D92">
        <v>-0.37857579405556296</v>
      </c>
    </row>
    <row r="93" spans="1:4" x14ac:dyDescent="0.3">
      <c r="A93">
        <v>34</v>
      </c>
      <c r="B93">
        <v>118061.0620653982</v>
      </c>
      <c r="C93">
        <v>1545.9379346017959</v>
      </c>
      <c r="D93">
        <v>0.1075626584562463</v>
      </c>
    </row>
    <row r="94" spans="1:4" x14ac:dyDescent="0.3">
      <c r="A94">
        <v>35</v>
      </c>
      <c r="B94">
        <v>119773.23878667656</v>
      </c>
      <c r="C94">
        <v>-25816.238786676564</v>
      </c>
      <c r="D94">
        <v>-1.7962320563350795</v>
      </c>
    </row>
    <row r="95" spans="1:4" x14ac:dyDescent="0.3">
      <c r="A95">
        <v>36</v>
      </c>
      <c r="B95">
        <v>104218.42993794612</v>
      </c>
      <c r="C95">
        <v>-8628.4299379461154</v>
      </c>
      <c r="D95">
        <v>-0.60034548713497249</v>
      </c>
    </row>
    <row r="96" spans="1:4" x14ac:dyDescent="0.3">
      <c r="A96">
        <v>37</v>
      </c>
      <c r="B96">
        <v>102899.51946103631</v>
      </c>
      <c r="C96">
        <v>-13746.519461036311</v>
      </c>
      <c r="D96">
        <v>-0.95644989663213997</v>
      </c>
    </row>
    <row r="97" spans="1:4" x14ac:dyDescent="0.3">
      <c r="A97">
        <v>38</v>
      </c>
      <c r="B97">
        <v>112303.16541071227</v>
      </c>
      <c r="C97">
        <v>-7004.165410712274</v>
      </c>
      <c r="D97">
        <v>-0.48733305198151855</v>
      </c>
    </row>
    <row r="98" spans="1:4" x14ac:dyDescent="0.3">
      <c r="A98">
        <v>39</v>
      </c>
      <c r="B98">
        <v>50918.059452809488</v>
      </c>
      <c r="C98">
        <v>-8247.059452809488</v>
      </c>
      <c r="D98">
        <v>-0.57381064228778256</v>
      </c>
    </row>
    <row r="99" spans="1:4" x14ac:dyDescent="0.3">
      <c r="A99">
        <v>40</v>
      </c>
      <c r="B99">
        <v>81767.036004696653</v>
      </c>
      <c r="C99">
        <v>-8164.0360046966525</v>
      </c>
      <c r="D99">
        <v>-0.56803406963674585</v>
      </c>
    </row>
    <row r="100" spans="1:4" x14ac:dyDescent="0.3">
      <c r="A100">
        <v>41</v>
      </c>
      <c r="B100">
        <v>77669.059256874461</v>
      </c>
      <c r="C100">
        <v>15025.940743125539</v>
      </c>
      <c r="D100">
        <v>1.0454689648022111</v>
      </c>
    </row>
    <row r="101" spans="1:4" x14ac:dyDescent="0.3">
      <c r="A101">
        <v>42</v>
      </c>
      <c r="B101">
        <v>49220.092332391177</v>
      </c>
      <c r="C101">
        <v>2128.9076676088225</v>
      </c>
      <c r="D101">
        <v>0.14812429607329314</v>
      </c>
    </row>
    <row r="102" spans="1:4" x14ac:dyDescent="0.3">
      <c r="A102">
        <v>43</v>
      </c>
      <c r="B102">
        <v>54748.077612342298</v>
      </c>
      <c r="C102">
        <v>3196.9223876577016</v>
      </c>
      <c r="D102">
        <v>0.22243420204532791</v>
      </c>
    </row>
    <row r="103" spans="1:4" x14ac:dyDescent="0.3">
      <c r="A103">
        <v>44</v>
      </c>
      <c r="B103">
        <v>45822.054906772682</v>
      </c>
      <c r="C103">
        <v>551.94509322731756</v>
      </c>
      <c r="D103">
        <v>3.8403017495461884E-2</v>
      </c>
    </row>
    <row r="104" spans="1:4" x14ac:dyDescent="0.3">
      <c r="A104">
        <v>45</v>
      </c>
      <c r="B104">
        <v>109317.0128447504</v>
      </c>
      <c r="C104">
        <v>-7692.0128447503957</v>
      </c>
      <c r="D104">
        <v>-0.53519182881948091</v>
      </c>
    </row>
    <row r="105" spans="1:4" x14ac:dyDescent="0.3">
      <c r="A105">
        <v>46</v>
      </c>
      <c r="B105">
        <v>38913.080753465474</v>
      </c>
      <c r="C105">
        <v>4688.9192465345259</v>
      </c>
      <c r="D105">
        <v>0.32624376965937157</v>
      </c>
    </row>
    <row r="106" spans="1:4" x14ac:dyDescent="0.3">
      <c r="A106">
        <v>47</v>
      </c>
      <c r="B106">
        <v>40076.211392205165</v>
      </c>
      <c r="C106">
        <v>161.78860779483512</v>
      </c>
      <c r="D106">
        <v>1.1256863793066807E-2</v>
      </c>
    </row>
    <row r="107" spans="1:4" x14ac:dyDescent="0.3">
      <c r="A107">
        <v>48</v>
      </c>
      <c r="B107">
        <v>93480.369387084793</v>
      </c>
      <c r="C107">
        <v>-16274.369387084793</v>
      </c>
      <c r="D107">
        <v>-1.1323316394488314</v>
      </c>
    </row>
    <row r="108" spans="1:4" x14ac:dyDescent="0.3">
      <c r="A108">
        <v>49</v>
      </c>
      <c r="B108">
        <v>25105.009300249003</v>
      </c>
      <c r="C108">
        <v>2934.990699750997</v>
      </c>
      <c r="D108">
        <v>0.20420962261392009</v>
      </c>
    </row>
    <row r="109" spans="1:4" x14ac:dyDescent="0.3">
      <c r="A109">
        <v>50</v>
      </c>
      <c r="B109">
        <v>95701.210704216675</v>
      </c>
      <c r="C109">
        <v>-24177.210704216675</v>
      </c>
      <c r="D109">
        <v>-1.6821924083726014</v>
      </c>
    </row>
    <row r="110" spans="1:4" x14ac:dyDescent="0.3">
      <c r="A110">
        <v>51</v>
      </c>
      <c r="B110">
        <v>86187.271191868494</v>
      </c>
      <c r="C110">
        <v>-14892.271191868494</v>
      </c>
      <c r="D110">
        <v>-1.0361685576085908</v>
      </c>
    </row>
    <row r="111" spans="1:4" x14ac:dyDescent="0.3">
      <c r="A111">
        <v>52</v>
      </c>
      <c r="B111">
        <v>70472.988474661426</v>
      </c>
      <c r="C111">
        <v>-12782.988474661426</v>
      </c>
      <c r="D111">
        <v>-0.88940971857599604</v>
      </c>
    </row>
    <row r="112" spans="1:4" x14ac:dyDescent="0.3">
      <c r="A112">
        <v>53</v>
      </c>
      <c r="B112">
        <v>112644.74254870779</v>
      </c>
      <c r="C112">
        <v>-1876.7425487077853</v>
      </c>
      <c r="D112">
        <v>-0.13057925111913235</v>
      </c>
    </row>
    <row r="113" spans="1:4" x14ac:dyDescent="0.3">
      <c r="A113">
        <v>54</v>
      </c>
      <c r="B113">
        <v>87592.787549530825</v>
      </c>
      <c r="C113">
        <v>-11042.787549530825</v>
      </c>
      <c r="D113">
        <v>-0.76833070656295499</v>
      </c>
    </row>
    <row r="114" spans="1:4" x14ac:dyDescent="0.3">
      <c r="A114">
        <v>55</v>
      </c>
      <c r="B114">
        <v>44500.951437549054</v>
      </c>
      <c r="C114">
        <v>-4897.9514375490544</v>
      </c>
      <c r="D114">
        <v>-0.3407877288088364</v>
      </c>
    </row>
    <row r="115" spans="1:4" x14ac:dyDescent="0.3">
      <c r="A115">
        <v>56</v>
      </c>
      <c r="B115">
        <v>71558.503652501066</v>
      </c>
      <c r="C115">
        <v>6456.4963474989345</v>
      </c>
      <c r="D115">
        <v>0.44922755041192119</v>
      </c>
    </row>
    <row r="116" spans="1:4" x14ac:dyDescent="0.3">
      <c r="A116">
        <v>57</v>
      </c>
      <c r="B116">
        <v>104862.84385330498</v>
      </c>
      <c r="C116">
        <v>4836.1561466950225</v>
      </c>
      <c r="D116">
        <v>0.33648816049140023</v>
      </c>
    </row>
    <row r="117" spans="1:4" x14ac:dyDescent="0.3">
      <c r="A117">
        <v>58</v>
      </c>
      <c r="B117">
        <v>61439.984709062614</v>
      </c>
      <c r="C117">
        <v>-9616.9847090626135</v>
      </c>
      <c r="D117">
        <v>-0.66912676019318595</v>
      </c>
    </row>
    <row r="118" spans="1:4" x14ac:dyDescent="0.3">
      <c r="A118">
        <v>59</v>
      </c>
      <c r="B118">
        <v>25917.656559396211</v>
      </c>
      <c r="C118">
        <v>10467.343440603789</v>
      </c>
      <c r="D118">
        <v>0.72829268384303181</v>
      </c>
    </row>
    <row r="119" spans="1:4" x14ac:dyDescent="0.3">
      <c r="A119">
        <v>60</v>
      </c>
      <c r="B119">
        <v>77588.81159497553</v>
      </c>
      <c r="C119">
        <v>-14663.81159497553</v>
      </c>
      <c r="D119">
        <v>-1.0202728860931756</v>
      </c>
    </row>
    <row r="120" spans="1:4" x14ac:dyDescent="0.3">
      <c r="A120">
        <v>61</v>
      </c>
      <c r="B120">
        <v>57127.665067856564</v>
      </c>
      <c r="C120">
        <v>-3535.6650678565638</v>
      </c>
      <c r="D120">
        <v>-0.24600310633265876</v>
      </c>
    </row>
    <row r="121" spans="1:4" x14ac:dyDescent="0.3">
      <c r="A121">
        <v>62</v>
      </c>
      <c r="B121">
        <v>44466.215222458159</v>
      </c>
      <c r="C121">
        <v>3950.7847775418413</v>
      </c>
      <c r="D121">
        <v>0.27488614138337375</v>
      </c>
    </row>
    <row r="122" spans="1:4" x14ac:dyDescent="0.3">
      <c r="A122">
        <v>63</v>
      </c>
      <c r="B122">
        <v>64854.191449047663</v>
      </c>
      <c r="C122">
        <v>2912.8085509523371</v>
      </c>
      <c r="D122">
        <v>0.20266624183410212</v>
      </c>
    </row>
    <row r="123" spans="1:4" x14ac:dyDescent="0.3">
      <c r="A123">
        <v>64</v>
      </c>
      <c r="B123">
        <v>113174.47911431425</v>
      </c>
      <c r="C123">
        <v>-27205.47911431425</v>
      </c>
      <c r="D123">
        <v>-1.8928920706414278</v>
      </c>
    </row>
    <row r="124" spans="1:4" x14ac:dyDescent="0.3">
      <c r="A124">
        <v>65</v>
      </c>
      <c r="B124">
        <v>29324.741673746554</v>
      </c>
      <c r="C124">
        <v>20739.258326253446</v>
      </c>
      <c r="D124">
        <v>1.4429879169484676</v>
      </c>
    </row>
    <row r="125" spans="1:4" x14ac:dyDescent="0.3">
      <c r="A125">
        <v>66</v>
      </c>
      <c r="B125">
        <v>48889.818299655395</v>
      </c>
      <c r="C125">
        <v>5151.1817003446049</v>
      </c>
      <c r="D125">
        <v>0.35840688392380504</v>
      </c>
    </row>
    <row r="126" spans="1:4" x14ac:dyDescent="0.3">
      <c r="A126">
        <v>67</v>
      </c>
      <c r="B126">
        <v>117340.99953784345</v>
      </c>
      <c r="C126">
        <v>-5784.9995378434542</v>
      </c>
      <c r="D126">
        <v>-0.40250641085334249</v>
      </c>
    </row>
    <row r="127" spans="1:4" x14ac:dyDescent="0.3">
      <c r="A127">
        <v>68</v>
      </c>
      <c r="B127">
        <v>55056.903578610014</v>
      </c>
      <c r="C127">
        <v>5639.0964213899861</v>
      </c>
      <c r="D127">
        <v>0.39235482149679518</v>
      </c>
    </row>
    <row r="128" spans="1:4" x14ac:dyDescent="0.3">
      <c r="A128">
        <v>69</v>
      </c>
      <c r="B128">
        <v>128479.15875890048</v>
      </c>
      <c r="C128">
        <v>17988.841241099522</v>
      </c>
      <c r="D128">
        <v>1.2516204843232765</v>
      </c>
    </row>
    <row r="129" spans="1:4" x14ac:dyDescent="0.3">
      <c r="A129">
        <v>70</v>
      </c>
      <c r="B129">
        <v>131107.46286561113</v>
      </c>
      <c r="C129">
        <v>6522.5371343888692</v>
      </c>
      <c r="D129">
        <v>0.45382251017416647</v>
      </c>
    </row>
    <row r="130" spans="1:4" x14ac:dyDescent="0.3">
      <c r="A130">
        <v>71</v>
      </c>
      <c r="B130">
        <v>82046.59858702324</v>
      </c>
      <c r="C130">
        <v>-4820.5985870232398</v>
      </c>
      <c r="D130">
        <v>-0.33540570275494541</v>
      </c>
    </row>
    <row r="131" spans="1:4" x14ac:dyDescent="0.3">
      <c r="A131">
        <v>72</v>
      </c>
      <c r="B131">
        <v>59828.988519384875</v>
      </c>
      <c r="C131">
        <v>-9274.988519384875</v>
      </c>
      <c r="D131">
        <v>-0.64533148450954758</v>
      </c>
    </row>
    <row r="132" spans="1:4" x14ac:dyDescent="0.3">
      <c r="A132">
        <v>73</v>
      </c>
      <c r="B132">
        <v>39741.694635704596</v>
      </c>
      <c r="C132">
        <v>759.30536429540371</v>
      </c>
      <c r="D132">
        <v>5.2830648459855252E-2</v>
      </c>
    </row>
    <row r="133" spans="1:4" x14ac:dyDescent="0.3">
      <c r="A133">
        <v>74</v>
      </c>
      <c r="B133">
        <v>59765.121427542923</v>
      </c>
      <c r="C133">
        <v>-3815.1214275429229</v>
      </c>
      <c r="D133">
        <v>-0.26544701044910207</v>
      </c>
    </row>
    <row r="134" spans="1:4" x14ac:dyDescent="0.3">
      <c r="A134">
        <v>75</v>
      </c>
      <c r="B134">
        <v>169328.84859174964</v>
      </c>
      <c r="C134">
        <v>23617.151408250356</v>
      </c>
      <c r="D134">
        <v>1.6432248240867626</v>
      </c>
    </row>
    <row r="135" spans="1:4" x14ac:dyDescent="0.3">
      <c r="A135">
        <v>76</v>
      </c>
      <c r="B135">
        <v>65970.147218051527</v>
      </c>
      <c r="C135">
        <v>-3392.1472180515266</v>
      </c>
      <c r="D135">
        <v>-0.23601747811600568</v>
      </c>
    </row>
    <row r="136" spans="1:4" x14ac:dyDescent="0.3">
      <c r="A136">
        <v>77</v>
      </c>
      <c r="B136">
        <v>137637.84743823489</v>
      </c>
      <c r="C136">
        <v>552.15256176510593</v>
      </c>
      <c r="D136">
        <v>3.8417452659365345E-2</v>
      </c>
    </row>
    <row r="137" spans="1:4" x14ac:dyDescent="0.3">
      <c r="A137">
        <v>78</v>
      </c>
      <c r="B137">
        <v>72056.481996066228</v>
      </c>
      <c r="C137">
        <v>-1381.481996066228</v>
      </c>
      <c r="D137">
        <v>-9.6120208179379815E-2</v>
      </c>
    </row>
    <row r="138" spans="1:4" x14ac:dyDescent="0.3">
      <c r="A138">
        <v>79</v>
      </c>
      <c r="B138">
        <v>76746.886538638675</v>
      </c>
      <c r="C138">
        <v>12495.113461361325</v>
      </c>
      <c r="D138">
        <v>0.86938006470657203</v>
      </c>
    </row>
    <row r="139" spans="1:4" x14ac:dyDescent="0.3">
      <c r="A139">
        <v>80</v>
      </c>
      <c r="B139">
        <v>82092.50124760007</v>
      </c>
      <c r="C139">
        <v>-8597.5012476000702</v>
      </c>
      <c r="D139">
        <v>-0.59819354294515126</v>
      </c>
    </row>
    <row r="140" spans="1:4" x14ac:dyDescent="0.3">
      <c r="A140">
        <v>81</v>
      </c>
      <c r="B140">
        <v>93420.328384877677</v>
      </c>
      <c r="C140">
        <v>-404.32838487767731</v>
      </c>
      <c r="D140">
        <v>-2.813220051939903E-2</v>
      </c>
    </row>
    <row r="141" spans="1:4" x14ac:dyDescent="0.3">
      <c r="A141">
        <v>82</v>
      </c>
      <c r="B141">
        <v>56480.994794225327</v>
      </c>
      <c r="C141">
        <v>6232.0052057746725</v>
      </c>
      <c r="D141">
        <v>0.43360799450137982</v>
      </c>
    </row>
    <row r="142" spans="1:4" x14ac:dyDescent="0.3">
      <c r="A142">
        <v>83</v>
      </c>
      <c r="B142">
        <v>67202.786548605392</v>
      </c>
      <c r="C142">
        <v>-8975.7865486053925</v>
      </c>
      <c r="D142">
        <v>-0.62451372807052274</v>
      </c>
    </row>
    <row r="143" spans="1:4" x14ac:dyDescent="0.3">
      <c r="A143">
        <v>84</v>
      </c>
      <c r="B143">
        <v>140977.44965195144</v>
      </c>
      <c r="C143">
        <v>-21802.449651951436</v>
      </c>
      <c r="D143">
        <v>-1.5169622226951942</v>
      </c>
    </row>
    <row r="144" spans="1:4" x14ac:dyDescent="0.3">
      <c r="A144">
        <v>85</v>
      </c>
      <c r="B144">
        <v>126521.62027072217</v>
      </c>
      <c r="C144">
        <v>38085.379729277833</v>
      </c>
      <c r="D144">
        <v>2.6498894944653482</v>
      </c>
    </row>
    <row r="145" spans="1:4" x14ac:dyDescent="0.3">
      <c r="A145">
        <v>86</v>
      </c>
      <c r="B145">
        <v>122980.67711780875</v>
      </c>
      <c r="C145">
        <v>-3559.6771178087511</v>
      </c>
      <c r="D145">
        <v>-0.24767380725151986</v>
      </c>
    </row>
    <row r="146" spans="1:4" x14ac:dyDescent="0.3">
      <c r="A146">
        <v>87</v>
      </c>
      <c r="B146">
        <v>-12985.873392331054</v>
      </c>
      <c r="C146">
        <v>36260.87339233105</v>
      </c>
      <c r="D146">
        <v>2.5229447138375196</v>
      </c>
    </row>
    <row r="147" spans="1:4" x14ac:dyDescent="0.3">
      <c r="A147">
        <v>88</v>
      </c>
      <c r="B147">
        <v>86732.131487840699</v>
      </c>
      <c r="C147">
        <v>-3862.1314878406993</v>
      </c>
      <c r="D147">
        <v>-0.26871785783995789</v>
      </c>
    </row>
    <row r="148" spans="1:4" x14ac:dyDescent="0.3">
      <c r="A148">
        <v>89</v>
      </c>
      <c r="B148">
        <v>32709.641418508552</v>
      </c>
      <c r="C148">
        <v>11528.358581491448</v>
      </c>
      <c r="D148">
        <v>0.80211557586333915</v>
      </c>
    </row>
    <row r="149" spans="1:4" x14ac:dyDescent="0.3">
      <c r="A149">
        <v>90</v>
      </c>
      <c r="B149">
        <v>66500.802384296287</v>
      </c>
      <c r="C149">
        <v>12041.197615703713</v>
      </c>
      <c r="D149">
        <v>0.83779768744449645</v>
      </c>
    </row>
    <row r="150" spans="1:4" x14ac:dyDescent="0.3">
      <c r="A150">
        <v>91</v>
      </c>
      <c r="B150">
        <v>135159.73953047435</v>
      </c>
      <c r="C150">
        <v>-12859.739530474355</v>
      </c>
      <c r="D150">
        <v>-0.894749873195262</v>
      </c>
    </row>
    <row r="151" spans="1:4" x14ac:dyDescent="0.3">
      <c r="A151">
        <v>92</v>
      </c>
      <c r="B151">
        <v>84729.75419750897</v>
      </c>
      <c r="C151">
        <v>-3999.7541975089698</v>
      </c>
      <c r="D151">
        <v>-0.27829331632670773</v>
      </c>
    </row>
    <row r="152" spans="1:4" x14ac:dyDescent="0.3">
      <c r="A152">
        <v>93</v>
      </c>
      <c r="B152">
        <v>64547.978485048399</v>
      </c>
      <c r="C152">
        <v>1103.0215149516007</v>
      </c>
      <c r="D152">
        <v>7.6745594908498582E-2</v>
      </c>
    </row>
    <row r="153" spans="1:4" x14ac:dyDescent="0.3">
      <c r="A153">
        <v>94</v>
      </c>
      <c r="B153">
        <v>46850.637244049176</v>
      </c>
      <c r="C153">
        <v>-3308.6372440491759</v>
      </c>
      <c r="D153">
        <v>-0.23020705415896722</v>
      </c>
    </row>
    <row r="154" spans="1:4" x14ac:dyDescent="0.3">
      <c r="A154">
        <v>95</v>
      </c>
      <c r="B154">
        <v>86187.456111644045</v>
      </c>
      <c r="C154">
        <v>-7386.4561116440454</v>
      </c>
      <c r="D154">
        <v>-0.51393192323951309</v>
      </c>
    </row>
    <row r="155" spans="1:4" x14ac:dyDescent="0.3">
      <c r="A155">
        <v>96</v>
      </c>
      <c r="B155">
        <v>107558.98995282647</v>
      </c>
      <c r="C155">
        <v>17014.010047173535</v>
      </c>
      <c r="D155">
        <v>1.1837940648934664</v>
      </c>
    </row>
    <row r="156" spans="1:4" x14ac:dyDescent="0.3">
      <c r="A156">
        <v>97</v>
      </c>
      <c r="B156">
        <v>42971.862718898512</v>
      </c>
      <c r="C156">
        <v>-575.86271889851196</v>
      </c>
      <c r="D156">
        <v>-4.0067148599028921E-2</v>
      </c>
    </row>
    <row r="157" spans="1:4" x14ac:dyDescent="0.3">
      <c r="A157">
        <v>98</v>
      </c>
      <c r="B157">
        <v>43904.274583489088</v>
      </c>
      <c r="C157">
        <v>1629.7254165109116</v>
      </c>
      <c r="D157">
        <v>0.11339239074871414</v>
      </c>
    </row>
    <row r="158" spans="1:4" x14ac:dyDescent="0.3">
      <c r="A158">
        <v>99</v>
      </c>
      <c r="B158">
        <v>83305.284183292213</v>
      </c>
      <c r="C158">
        <v>21759.715816707787</v>
      </c>
      <c r="D158">
        <v>1.5139889048006294</v>
      </c>
    </row>
    <row r="159" spans="1:4" ht="15" thickBot="1" x14ac:dyDescent="0.35">
      <c r="A159" s="1">
        <v>100</v>
      </c>
      <c r="B159" s="1">
        <v>118302.84408857618</v>
      </c>
      <c r="C159" s="1">
        <v>-13472.844088576181</v>
      </c>
      <c r="D159" s="1">
        <v>-0.93740821975951871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2777E-B15E-42E2-AD42-1A0A91247DAA}">
  <dimension ref="A1:AI165"/>
  <sheetViews>
    <sheetView tabSelected="1" topLeftCell="A23" zoomScale="81" zoomScaleNormal="115" workbookViewId="0">
      <selection activeCell="A138" sqref="A138"/>
    </sheetView>
  </sheetViews>
  <sheetFormatPr defaultRowHeight="14.4" x14ac:dyDescent="0.3"/>
  <cols>
    <col min="1" max="1" width="23.5546875" customWidth="1"/>
    <col min="2" max="2" width="26.33203125" bestFit="1" customWidth="1"/>
    <col min="3" max="3" width="13.21875" bestFit="1" customWidth="1"/>
    <col min="4" max="4" width="17.109375" bestFit="1" customWidth="1"/>
    <col min="5" max="5" width="18.33203125" customWidth="1"/>
    <col min="6" max="6" width="12.77734375" bestFit="1" customWidth="1"/>
    <col min="7" max="7" width="14.33203125" bestFit="1" customWidth="1"/>
    <col min="8" max="9" width="12.6640625" bestFit="1" customWidth="1"/>
  </cols>
  <sheetData>
    <row r="1" spans="1:8" ht="21" x14ac:dyDescent="0.4">
      <c r="A1" s="10" t="s">
        <v>94</v>
      </c>
      <c r="B1" s="13" t="s">
        <v>109</v>
      </c>
    </row>
    <row r="2" spans="1:8" ht="15" thickBot="1" x14ac:dyDescent="0.35"/>
    <row r="3" spans="1:8" x14ac:dyDescent="0.3">
      <c r="A3" s="8" t="s">
        <v>84</v>
      </c>
      <c r="B3" s="8"/>
      <c r="C3" s="4"/>
      <c r="D3" s="4" t="s">
        <v>39</v>
      </c>
      <c r="E3" s="4" t="s">
        <v>42</v>
      </c>
      <c r="F3" s="2" t="s">
        <v>39</v>
      </c>
      <c r="G3" s="2" t="s">
        <v>41</v>
      </c>
      <c r="H3" s="2" t="s">
        <v>44</v>
      </c>
    </row>
    <row r="4" spans="1:8" x14ac:dyDescent="0.3">
      <c r="C4" s="4"/>
      <c r="D4" s="4">
        <v>9.75</v>
      </c>
      <c r="E4" s="4" t="str">
        <f>"Less than (or =) " &amp; D4</f>
        <v>Less than (or =) 9.75</v>
      </c>
      <c r="F4">
        <v>9.75</v>
      </c>
      <c r="G4">
        <v>0</v>
      </c>
      <c r="H4" s="6">
        <f t="shared" ref="H4:H17" si="0">G4/$G$19</f>
        <v>0</v>
      </c>
    </row>
    <row r="5" spans="1:8" x14ac:dyDescent="0.3">
      <c r="A5" t="s">
        <v>26</v>
      </c>
      <c r="B5">
        <v>11.164211530645233</v>
      </c>
      <c r="C5" s="4"/>
      <c r="D5" s="4">
        <v>10</v>
      </c>
      <c r="E5" s="4" t="str">
        <f t="shared" ref="E5:E16" si="1">"Over "&amp;D4&amp;" to " &amp; D5</f>
        <v>Over 9.75 to 10</v>
      </c>
      <c r="F5">
        <v>10</v>
      </c>
      <c r="G5">
        <v>0</v>
      </c>
      <c r="H5" s="6">
        <f t="shared" si="0"/>
        <v>0</v>
      </c>
    </row>
    <row r="6" spans="1:8" x14ac:dyDescent="0.3">
      <c r="A6" t="s">
        <v>27</v>
      </c>
      <c r="B6">
        <v>4.6266112313474661E-2</v>
      </c>
      <c r="C6" s="4"/>
      <c r="D6" s="4">
        <v>10.25</v>
      </c>
      <c r="E6" s="4" t="str">
        <f t="shared" si="1"/>
        <v>Over 10 to 10.25</v>
      </c>
      <c r="F6">
        <v>10.25</v>
      </c>
      <c r="G6">
        <v>2</v>
      </c>
      <c r="H6" s="6">
        <f t="shared" si="0"/>
        <v>0.02</v>
      </c>
    </row>
    <row r="7" spans="1:8" x14ac:dyDescent="0.3">
      <c r="A7" t="s">
        <v>28</v>
      </c>
      <c r="B7">
        <v>11.170214330139006</v>
      </c>
      <c r="C7" s="4"/>
      <c r="D7" s="4">
        <v>10.5</v>
      </c>
      <c r="E7" s="4" t="str">
        <f t="shared" si="1"/>
        <v>Over 10.25 to 10.5</v>
      </c>
      <c r="F7">
        <v>10.5</v>
      </c>
      <c r="G7">
        <v>2</v>
      </c>
      <c r="H7" s="6">
        <f t="shared" si="0"/>
        <v>0.02</v>
      </c>
    </row>
    <row r="8" spans="1:8" x14ac:dyDescent="0.3">
      <c r="A8" t="s">
        <v>29</v>
      </c>
      <c r="B8" t="e">
        <v>#N/A</v>
      </c>
      <c r="C8" s="4"/>
      <c r="D8" s="4">
        <v>10.75</v>
      </c>
      <c r="E8" s="4" t="str">
        <f t="shared" si="1"/>
        <v>Over 10.5 to 10.75</v>
      </c>
      <c r="F8">
        <v>10.75</v>
      </c>
      <c r="G8">
        <v>18</v>
      </c>
      <c r="H8" s="6">
        <f t="shared" si="0"/>
        <v>0.18</v>
      </c>
    </row>
    <row r="9" spans="1:8" x14ac:dyDescent="0.3">
      <c r="A9" t="s">
        <v>30</v>
      </c>
      <c r="B9">
        <v>0.46266112313474661</v>
      </c>
      <c r="C9" s="4"/>
      <c r="D9" s="4">
        <v>11</v>
      </c>
      <c r="E9" s="4" t="str">
        <f t="shared" si="1"/>
        <v>Over 10.75 to 11</v>
      </c>
      <c r="F9">
        <v>11</v>
      </c>
      <c r="G9">
        <v>15</v>
      </c>
      <c r="H9" s="6">
        <f t="shared" si="0"/>
        <v>0.15</v>
      </c>
    </row>
    <row r="10" spans="1:8" x14ac:dyDescent="0.3">
      <c r="A10" t="s">
        <v>31</v>
      </c>
      <c r="B10">
        <v>0.21405531486030518</v>
      </c>
      <c r="C10" s="4"/>
      <c r="D10" s="4">
        <v>11.25</v>
      </c>
      <c r="E10" s="4" t="str">
        <f t="shared" si="1"/>
        <v>Over 11 to 11.25</v>
      </c>
      <c r="F10">
        <v>11.25</v>
      </c>
      <c r="G10">
        <v>19</v>
      </c>
      <c r="H10" s="6">
        <f t="shared" si="0"/>
        <v>0.19</v>
      </c>
    </row>
    <row r="11" spans="1:8" x14ac:dyDescent="0.3">
      <c r="A11" t="s">
        <v>32</v>
      </c>
      <c r="B11">
        <v>-5.7624458770584308E-2</v>
      </c>
      <c r="C11" s="4"/>
      <c r="D11" s="4">
        <v>11.5</v>
      </c>
      <c r="E11" s="4" t="str">
        <f t="shared" si="1"/>
        <v>Over 11.25 to 11.5</v>
      </c>
      <c r="F11">
        <v>11.5</v>
      </c>
      <c r="G11">
        <v>20</v>
      </c>
      <c r="H11" s="6">
        <f t="shared" si="0"/>
        <v>0.2</v>
      </c>
    </row>
    <row r="12" spans="1:8" x14ac:dyDescent="0.3">
      <c r="A12" t="s">
        <v>33</v>
      </c>
      <c r="B12">
        <v>0.21507505344401392</v>
      </c>
      <c r="C12" s="4"/>
      <c r="D12" s="4">
        <v>11.75</v>
      </c>
      <c r="E12" s="4" t="str">
        <f t="shared" si="1"/>
        <v>Over 11.5 to 11.75</v>
      </c>
      <c r="F12">
        <v>11.75</v>
      </c>
      <c r="G12">
        <v>15</v>
      </c>
      <c r="H12" s="6">
        <f t="shared" si="0"/>
        <v>0.15</v>
      </c>
    </row>
    <row r="13" spans="1:8" x14ac:dyDescent="0.3">
      <c r="A13" t="s">
        <v>34</v>
      </c>
      <c r="B13">
        <v>2.3633719560240962</v>
      </c>
      <c r="C13" s="4"/>
      <c r="D13" s="4">
        <v>12</v>
      </c>
      <c r="E13" s="4" t="str">
        <f t="shared" si="1"/>
        <v>Over 11.75 to 12</v>
      </c>
      <c r="F13">
        <v>12</v>
      </c>
      <c r="G13">
        <v>5</v>
      </c>
      <c r="H13" s="6">
        <f t="shared" si="0"/>
        <v>0.05</v>
      </c>
    </row>
    <row r="14" spans="1:8" x14ac:dyDescent="0.3">
      <c r="A14" t="s">
        <v>35</v>
      </c>
      <c r="B14">
        <v>10.055135102145268</v>
      </c>
      <c r="C14" s="4"/>
      <c r="D14" s="4">
        <v>12.25</v>
      </c>
      <c r="E14" s="4" t="str">
        <f t="shared" si="1"/>
        <v>Over 12 to 12.25</v>
      </c>
      <c r="F14">
        <v>12.25</v>
      </c>
      <c r="G14">
        <v>2</v>
      </c>
      <c r="H14" s="6">
        <f t="shared" si="0"/>
        <v>0.02</v>
      </c>
    </row>
    <row r="15" spans="1:8" x14ac:dyDescent="0.3">
      <c r="A15" t="s">
        <v>36</v>
      </c>
      <c r="B15">
        <v>12.418507058169364</v>
      </c>
      <c r="C15" s="4"/>
      <c r="D15" s="4">
        <v>12.5</v>
      </c>
      <c r="E15" s="4" t="str">
        <f t="shared" si="1"/>
        <v>Over 12.25 to 12.5</v>
      </c>
      <c r="F15">
        <v>12.5</v>
      </c>
      <c r="G15">
        <v>2</v>
      </c>
      <c r="H15" s="6">
        <f t="shared" si="0"/>
        <v>0.02</v>
      </c>
    </row>
    <row r="16" spans="1:8" x14ac:dyDescent="0.3">
      <c r="A16" t="s">
        <v>37</v>
      </c>
      <c r="B16">
        <v>1116.4211530645232</v>
      </c>
      <c r="C16" s="4"/>
      <c r="D16" s="4">
        <v>12.75</v>
      </c>
      <c r="E16" s="4" t="str">
        <f t="shared" si="1"/>
        <v>Over 12.5 to 12.75</v>
      </c>
      <c r="F16">
        <v>12.75</v>
      </c>
      <c r="G16">
        <v>0</v>
      </c>
      <c r="H16" s="6">
        <f t="shared" si="0"/>
        <v>0</v>
      </c>
    </row>
    <row r="17" spans="1:8" ht="15" thickBot="1" x14ac:dyDescent="0.35">
      <c r="A17" s="1" t="s">
        <v>38</v>
      </c>
      <c r="B17" s="1">
        <v>100</v>
      </c>
      <c r="C17" s="4"/>
      <c r="D17" s="4"/>
      <c r="E17" s="4" t="str">
        <f>"Over "&amp;D16</f>
        <v>Over 12.75</v>
      </c>
      <c r="F17" s="1" t="s">
        <v>40</v>
      </c>
      <c r="G17" s="1">
        <v>0</v>
      </c>
      <c r="H17" s="1">
        <f t="shared" si="0"/>
        <v>0</v>
      </c>
    </row>
    <row r="18" spans="1:8" x14ac:dyDescent="0.3">
      <c r="A18" s="4"/>
      <c r="B18" s="4"/>
      <c r="C18" s="4"/>
      <c r="D18" s="4"/>
      <c r="E18" s="4"/>
      <c r="F18" s="4"/>
      <c r="G18" s="4"/>
      <c r="H18" s="4"/>
    </row>
    <row r="19" spans="1:8" x14ac:dyDescent="0.3">
      <c r="A19" s="4"/>
      <c r="B19" s="4"/>
      <c r="C19" s="4"/>
      <c r="D19" s="4"/>
      <c r="E19" s="7" t="s">
        <v>43</v>
      </c>
      <c r="F19" s="4"/>
      <c r="G19" s="4">
        <f>SUM(G4:G17)</f>
        <v>100</v>
      </c>
      <c r="H19" s="6">
        <f>SUM(H4:H17)</f>
        <v>1</v>
      </c>
    </row>
    <row r="22" spans="1:8" ht="21" x14ac:dyDescent="0.4">
      <c r="A22" s="10" t="s">
        <v>110</v>
      </c>
      <c r="B22" s="13" t="s">
        <v>111</v>
      </c>
    </row>
    <row r="23" spans="1:8" ht="21" x14ac:dyDescent="0.4">
      <c r="A23" s="10" t="s">
        <v>112</v>
      </c>
      <c r="B23" s="13" t="s">
        <v>115</v>
      </c>
    </row>
    <row r="24" spans="1:8" x14ac:dyDescent="0.3">
      <c r="B24" t="s">
        <v>113</v>
      </c>
    </row>
    <row r="27" spans="1:8" ht="21" x14ac:dyDescent="0.4">
      <c r="A27" s="10" t="s">
        <v>101</v>
      </c>
      <c r="B27" s="13" t="s">
        <v>114</v>
      </c>
    </row>
    <row r="29" spans="1:8" x14ac:dyDescent="0.3">
      <c r="A29" t="s">
        <v>46</v>
      </c>
    </row>
    <row r="30" spans="1:8" ht="15" thickBot="1" x14ac:dyDescent="0.35"/>
    <row r="31" spans="1:8" x14ac:dyDescent="0.3">
      <c r="A31" s="8" t="s">
        <v>47</v>
      </c>
      <c r="B31" s="8"/>
    </row>
    <row r="32" spans="1:8" x14ac:dyDescent="0.3">
      <c r="A32" t="s">
        <v>48</v>
      </c>
      <c r="B32">
        <v>0.96029458021998282</v>
      </c>
    </row>
    <row r="33" spans="1:9" x14ac:dyDescent="0.3">
      <c r="A33" t="s">
        <v>49</v>
      </c>
      <c r="B33">
        <v>0.92216568079987304</v>
      </c>
    </row>
    <row r="34" spans="1:9" x14ac:dyDescent="0.3">
      <c r="A34" t="s">
        <v>50</v>
      </c>
      <c r="B34">
        <v>0.90934591057867598</v>
      </c>
    </row>
    <row r="35" spans="1:9" x14ac:dyDescent="0.3">
      <c r="A35" t="s">
        <v>27</v>
      </c>
      <c r="B35">
        <v>0.139301793435892</v>
      </c>
    </row>
    <row r="36" spans="1:9" ht="15" thickBot="1" x14ac:dyDescent="0.35">
      <c r="A36" s="1" t="s">
        <v>51</v>
      </c>
      <c r="B36" s="1">
        <v>100</v>
      </c>
    </row>
    <row r="38" spans="1:9" ht="15" thickBot="1" x14ac:dyDescent="0.35">
      <c r="A38" t="s">
        <v>52</v>
      </c>
    </row>
    <row r="39" spans="1:9" x14ac:dyDescent="0.3">
      <c r="A39" s="2"/>
      <c r="B39" s="2" t="s">
        <v>56</v>
      </c>
      <c r="C39" s="2" t="s">
        <v>57</v>
      </c>
      <c r="D39" s="2" t="s">
        <v>58</v>
      </c>
      <c r="E39" s="2" t="s">
        <v>59</v>
      </c>
      <c r="F39" s="2" t="s">
        <v>60</v>
      </c>
    </row>
    <row r="40" spans="1:9" x14ac:dyDescent="0.3">
      <c r="A40" t="s">
        <v>53</v>
      </c>
      <c r="B40">
        <v>14</v>
      </c>
      <c r="C40">
        <v>19.542052050541464</v>
      </c>
      <c r="D40">
        <v>1.3958608607529617</v>
      </c>
      <c r="E40">
        <v>71.933089664515194</v>
      </c>
      <c r="F40">
        <v>6.1110781007352218E-41</v>
      </c>
    </row>
    <row r="41" spans="1:9" x14ac:dyDescent="0.3">
      <c r="A41" t="s">
        <v>54</v>
      </c>
      <c r="B41">
        <v>85</v>
      </c>
      <c r="C41">
        <v>1.6494241206287465</v>
      </c>
      <c r="D41">
        <v>1.9404989654455841E-2</v>
      </c>
    </row>
    <row r="42" spans="1:9" ht="15" thickBot="1" x14ac:dyDescent="0.35">
      <c r="A42" s="1" t="s">
        <v>43</v>
      </c>
      <c r="B42" s="1">
        <v>99</v>
      </c>
      <c r="C42" s="1">
        <v>21.191476171170212</v>
      </c>
      <c r="D42" s="1"/>
      <c r="E42" s="1"/>
      <c r="F42" s="1"/>
    </row>
    <row r="43" spans="1:9" ht="15" thickBot="1" x14ac:dyDescent="0.35"/>
    <row r="44" spans="1:9" x14ac:dyDescent="0.3">
      <c r="A44" s="2"/>
      <c r="B44" s="2" t="s">
        <v>61</v>
      </c>
      <c r="C44" s="2" t="s">
        <v>27</v>
      </c>
      <c r="D44" s="2" t="s">
        <v>62</v>
      </c>
      <c r="E44" s="2" t="s">
        <v>63</v>
      </c>
      <c r="F44" s="2" t="s">
        <v>64</v>
      </c>
      <c r="G44" s="2" t="s">
        <v>65</v>
      </c>
      <c r="H44" s="2" t="s">
        <v>66</v>
      </c>
      <c r="I44" s="2" t="s">
        <v>67</v>
      </c>
    </row>
    <row r="45" spans="1:9" x14ac:dyDescent="0.3">
      <c r="A45" t="s">
        <v>55</v>
      </c>
      <c r="B45">
        <v>9.5406298118271629</v>
      </c>
      <c r="C45">
        <v>0.16208016991682528</v>
      </c>
      <c r="D45">
        <v>58.863646408583669</v>
      </c>
      <c r="E45">
        <v>1.1404145667622495E-70</v>
      </c>
      <c r="F45">
        <v>9.2183710115430841</v>
      </c>
      <c r="G45">
        <v>9.8628886121112416</v>
      </c>
      <c r="H45">
        <v>9.2183710115430841</v>
      </c>
      <c r="I45">
        <v>9.8628886121112416</v>
      </c>
    </row>
    <row r="46" spans="1:9" x14ac:dyDescent="0.3">
      <c r="A46" t="s">
        <v>7</v>
      </c>
      <c r="B46">
        <v>2.1268358789617678E-2</v>
      </c>
      <c r="C46">
        <v>1.9958693309326796E-3</v>
      </c>
      <c r="D46">
        <v>10.656187987857335</v>
      </c>
      <c r="E46">
        <v>2.4777642487589848E-17</v>
      </c>
      <c r="F46">
        <v>1.730003585140619E-2</v>
      </c>
      <c r="G46">
        <v>2.5236681727829165E-2</v>
      </c>
      <c r="H46">
        <v>1.730003585140619E-2</v>
      </c>
      <c r="I46">
        <v>2.5236681727829165E-2</v>
      </c>
    </row>
    <row r="47" spans="1:9" x14ac:dyDescent="0.3">
      <c r="A47" t="s">
        <v>8</v>
      </c>
      <c r="B47">
        <v>1.746198513130829E-2</v>
      </c>
      <c r="C47">
        <v>2.879815369917809E-3</v>
      </c>
      <c r="D47">
        <v>6.0635780035463389</v>
      </c>
      <c r="E47">
        <v>3.5515212490064503E-8</v>
      </c>
      <c r="F47">
        <v>1.1736140651841056E-2</v>
      </c>
      <c r="G47">
        <v>2.3187829610775524E-2</v>
      </c>
      <c r="H47">
        <v>1.1736140651841056E-2</v>
      </c>
      <c r="I47">
        <v>2.3187829610775524E-2</v>
      </c>
    </row>
    <row r="48" spans="1:9" x14ac:dyDescent="0.3">
      <c r="A48" t="s">
        <v>9</v>
      </c>
      <c r="B48">
        <v>3.2360117598464334E-2</v>
      </c>
      <c r="C48">
        <v>3.859179731163149E-3</v>
      </c>
      <c r="D48">
        <v>8.3852320577748944</v>
      </c>
      <c r="E48">
        <v>9.4683747675463546E-13</v>
      </c>
      <c r="F48">
        <v>2.4687034389806059E-2</v>
      </c>
      <c r="G48">
        <v>4.003320080712261E-2</v>
      </c>
      <c r="H48">
        <v>2.4687034389806059E-2</v>
      </c>
      <c r="I48">
        <v>4.003320080712261E-2</v>
      </c>
    </row>
    <row r="49" spans="1:9" x14ac:dyDescent="0.3">
      <c r="A49" t="s">
        <v>10</v>
      </c>
      <c r="B49">
        <v>2.7354175364331013E-5</v>
      </c>
      <c r="C49">
        <v>3.6233066361493616E-6</v>
      </c>
      <c r="D49">
        <v>7.5495060482657443</v>
      </c>
      <c r="E49">
        <v>4.525940461428422E-11</v>
      </c>
      <c r="F49">
        <v>2.0150071060725977E-5</v>
      </c>
      <c r="G49">
        <v>3.455827966793605E-5</v>
      </c>
      <c r="H49">
        <v>2.0150071060725977E-5</v>
      </c>
      <c r="I49">
        <v>3.455827966793605E-5</v>
      </c>
    </row>
    <row r="50" spans="1:9" x14ac:dyDescent="0.3">
      <c r="A50" t="s">
        <v>11</v>
      </c>
      <c r="B50">
        <v>0.20878700897826027</v>
      </c>
      <c r="C50">
        <v>2.8918016041271411E-2</v>
      </c>
      <c r="D50">
        <v>7.2199631081289324</v>
      </c>
      <c r="E50">
        <v>2.0447703815135935E-10</v>
      </c>
      <c r="F50">
        <v>0.15129024573548874</v>
      </c>
      <c r="G50">
        <v>0.26628377222103183</v>
      </c>
      <c r="H50">
        <v>0.15129024573548874</v>
      </c>
      <c r="I50">
        <v>0.26628377222103183</v>
      </c>
    </row>
    <row r="51" spans="1:9" x14ac:dyDescent="0.3">
      <c r="A51" t="s">
        <v>73</v>
      </c>
      <c r="B51">
        <v>-0.30120003046715915</v>
      </c>
      <c r="C51">
        <v>4.1052213431191531E-2</v>
      </c>
      <c r="D51">
        <v>-7.3369985511745135</v>
      </c>
      <c r="E51">
        <v>1.1986034812625757E-10</v>
      </c>
      <c r="F51">
        <v>-0.38282282896330277</v>
      </c>
      <c r="G51">
        <v>-0.21957723197101553</v>
      </c>
      <c r="H51">
        <v>-0.38282282896330277</v>
      </c>
      <c r="I51">
        <v>-0.21957723197101553</v>
      </c>
    </row>
    <row r="52" spans="1:9" x14ac:dyDescent="0.3">
      <c r="A52" t="s">
        <v>74</v>
      </c>
      <c r="B52">
        <v>0.20189438682629199</v>
      </c>
      <c r="C52">
        <v>4.0954254371630257E-2</v>
      </c>
      <c r="D52">
        <v>4.9297536952875873</v>
      </c>
      <c r="E52">
        <v>4.0268373742425085E-6</v>
      </c>
      <c r="F52">
        <v>0.12046635718452078</v>
      </c>
      <c r="G52">
        <v>0.28332241646806333</v>
      </c>
      <c r="H52">
        <v>0.12046635718452078</v>
      </c>
      <c r="I52">
        <v>0.28332241646806333</v>
      </c>
    </row>
    <row r="53" spans="1:9" x14ac:dyDescent="0.3">
      <c r="A53" t="s">
        <v>75</v>
      </c>
      <c r="B53">
        <v>0.32389423588327598</v>
      </c>
      <c r="C53">
        <v>4.0309860251618965E-2</v>
      </c>
      <c r="D53">
        <v>8.0351118525712959</v>
      </c>
      <c r="E53">
        <v>4.8117400845385382E-12</v>
      </c>
      <c r="F53">
        <v>0.24374743439009028</v>
      </c>
      <c r="G53">
        <v>0.40404103737646191</v>
      </c>
      <c r="H53">
        <v>0.24374743439009028</v>
      </c>
      <c r="I53">
        <v>0.40404103737646191</v>
      </c>
    </row>
    <row r="54" spans="1:9" x14ac:dyDescent="0.3">
      <c r="A54" t="s">
        <v>76</v>
      </c>
      <c r="B54">
        <v>-0.10715443217166963</v>
      </c>
      <c r="C54">
        <v>4.0646189540719954E-2</v>
      </c>
      <c r="D54">
        <v>-2.6362725112109398</v>
      </c>
      <c r="E54">
        <v>9.9631189161858529E-3</v>
      </c>
      <c r="F54">
        <v>-0.18796994639671957</v>
      </c>
      <c r="G54">
        <v>-2.6338917946619689E-2</v>
      </c>
      <c r="H54">
        <v>-0.18796994639671957</v>
      </c>
      <c r="I54">
        <v>-2.6338917946619689E-2</v>
      </c>
    </row>
    <row r="55" spans="1:9" x14ac:dyDescent="0.3">
      <c r="A55" t="s">
        <v>77</v>
      </c>
      <c r="B55">
        <v>-0.25606570172829279</v>
      </c>
      <c r="C55">
        <v>3.9115371396115303E-2</v>
      </c>
      <c r="D55">
        <v>-6.5464213322981166</v>
      </c>
      <c r="E55">
        <v>4.2522256165605105E-9</v>
      </c>
      <c r="F55">
        <v>-0.33383753936424149</v>
      </c>
      <c r="G55">
        <v>-0.1782938640923441</v>
      </c>
      <c r="H55">
        <v>-0.33383753936424149</v>
      </c>
      <c r="I55">
        <v>-0.1782938640923441</v>
      </c>
    </row>
    <row r="56" spans="1:9" x14ac:dyDescent="0.3">
      <c r="A56" t="s">
        <v>79</v>
      </c>
      <c r="B56">
        <v>-0.30592042346110321</v>
      </c>
      <c r="C56">
        <v>4.7477717798345601E-2</v>
      </c>
      <c r="D56">
        <v>-6.4434525846514727</v>
      </c>
      <c r="E56">
        <v>6.7148905831261044E-9</v>
      </c>
      <c r="F56">
        <v>-0.40031884607981405</v>
      </c>
      <c r="G56">
        <v>-0.21152200084239239</v>
      </c>
      <c r="H56">
        <v>-0.40031884607981405</v>
      </c>
      <c r="I56">
        <v>-0.21152200084239239</v>
      </c>
    </row>
    <row r="57" spans="1:9" x14ac:dyDescent="0.3">
      <c r="A57" t="s">
        <v>80</v>
      </c>
      <c r="B57">
        <v>-0.84360635214747859</v>
      </c>
      <c r="C57">
        <v>4.3413907325220012E-2</v>
      </c>
      <c r="D57">
        <v>-19.431707582270779</v>
      </c>
      <c r="E57">
        <v>5.1090266920743313E-33</v>
      </c>
      <c r="F57">
        <v>-0.929924830820404</v>
      </c>
      <c r="G57">
        <v>-0.75728787347455317</v>
      </c>
      <c r="H57">
        <v>-0.929924830820404</v>
      </c>
      <c r="I57">
        <v>-0.75728787347455317</v>
      </c>
    </row>
    <row r="58" spans="1:9" x14ac:dyDescent="0.3">
      <c r="A58" t="s">
        <v>81</v>
      </c>
      <c r="B58">
        <v>-0.48251560214633382</v>
      </c>
      <c r="C58">
        <v>4.0216828804968491E-2</v>
      </c>
      <c r="D58">
        <v>-11.997853050181883</v>
      </c>
      <c r="E58">
        <v>5.5624700348675875E-20</v>
      </c>
      <c r="F58">
        <v>-0.56247743219975832</v>
      </c>
      <c r="G58">
        <v>-0.40255377209290932</v>
      </c>
      <c r="H58">
        <v>-0.56247743219975832</v>
      </c>
      <c r="I58">
        <v>-0.40255377209290932</v>
      </c>
    </row>
    <row r="59" spans="1:9" ht="15" thickBot="1" x14ac:dyDescent="0.35">
      <c r="A59" s="1" t="s">
        <v>83</v>
      </c>
      <c r="B59" s="1">
        <v>0.12297641156091926</v>
      </c>
      <c r="C59" s="1">
        <v>3.1261265741674059E-2</v>
      </c>
      <c r="D59" s="1">
        <v>3.9338270106248681</v>
      </c>
      <c r="E59" s="1">
        <v>1.7017706154544347E-4</v>
      </c>
      <c r="F59" s="1">
        <v>6.0820640139631517E-2</v>
      </c>
      <c r="G59" s="1">
        <v>0.18513218298220702</v>
      </c>
      <c r="H59" s="1">
        <v>6.0820640139631517E-2</v>
      </c>
      <c r="I59" s="1">
        <v>0.18513218298220702</v>
      </c>
    </row>
    <row r="63" spans="1:9" x14ac:dyDescent="0.3">
      <c r="A63" t="s">
        <v>68</v>
      </c>
    </row>
    <row r="64" spans="1:9" ht="15" thickBot="1" x14ac:dyDescent="0.35"/>
    <row r="65" spans="1:6" x14ac:dyDescent="0.3">
      <c r="A65" s="2" t="s">
        <v>69</v>
      </c>
      <c r="B65" s="2" t="s">
        <v>85</v>
      </c>
      <c r="C65" s="2" t="s">
        <v>71</v>
      </c>
      <c r="D65" s="2" t="s">
        <v>72</v>
      </c>
    </row>
    <row r="66" spans="1:6" x14ac:dyDescent="0.3">
      <c r="A66">
        <v>1</v>
      </c>
      <c r="B66">
        <v>11.37125062962745</v>
      </c>
      <c r="C66">
        <v>-4.3703388301079116E-2</v>
      </c>
      <c r="D66">
        <v>-0.33858408121794092</v>
      </c>
      <c r="F66" s="13" t="s">
        <v>118</v>
      </c>
    </row>
    <row r="67" spans="1:6" x14ac:dyDescent="0.3">
      <c r="A67">
        <v>2</v>
      </c>
      <c r="B67">
        <v>10.403291950795477</v>
      </c>
      <c r="C67">
        <v>-4.6851561083830262E-2</v>
      </c>
      <c r="D67">
        <v>-0.36297397936084547</v>
      </c>
    </row>
    <row r="68" spans="1:6" x14ac:dyDescent="0.3">
      <c r="A68">
        <v>3</v>
      </c>
      <c r="B68">
        <v>11.617810970448957</v>
      </c>
      <c r="C68">
        <v>0.18626803445127749</v>
      </c>
      <c r="D68">
        <v>1.4430778426257698</v>
      </c>
    </row>
    <row r="69" spans="1:6" x14ac:dyDescent="0.3">
      <c r="A69">
        <v>4</v>
      </c>
      <c r="B69">
        <v>10.848841852386267</v>
      </c>
      <c r="C69">
        <v>-0.2096506298762808</v>
      </c>
      <c r="D69">
        <v>-1.6242302634386452</v>
      </c>
    </row>
    <row r="70" spans="1:6" x14ac:dyDescent="0.3">
      <c r="A70">
        <v>5</v>
      </c>
      <c r="B70">
        <v>11.064441868065968</v>
      </c>
      <c r="C70">
        <v>6.2026682966768831E-2</v>
      </c>
      <c r="D70">
        <v>0.48054048621171491</v>
      </c>
    </row>
    <row r="71" spans="1:6" x14ac:dyDescent="0.3">
      <c r="A71">
        <v>6</v>
      </c>
      <c r="B71">
        <v>11.087803570690552</v>
      </c>
      <c r="C71">
        <v>0.18782870736102453</v>
      </c>
      <c r="D71">
        <v>1.4551688731790091</v>
      </c>
    </row>
    <row r="72" spans="1:6" x14ac:dyDescent="0.3">
      <c r="A72">
        <v>7</v>
      </c>
      <c r="B72">
        <v>11.618003900134957</v>
      </c>
      <c r="C72">
        <v>0.13139191851948873</v>
      </c>
      <c r="D72">
        <v>1.0179350787381669</v>
      </c>
    </row>
    <row r="73" spans="1:6" x14ac:dyDescent="0.3">
      <c r="A73">
        <v>8</v>
      </c>
      <c r="B73">
        <v>11.173593652678429</v>
      </c>
      <c r="C73">
        <v>9.0626833576909149E-2</v>
      </c>
      <c r="D73">
        <v>0.70211497032991743</v>
      </c>
    </row>
    <row r="74" spans="1:6" x14ac:dyDescent="0.3">
      <c r="A74">
        <v>9</v>
      </c>
      <c r="B74">
        <v>10.809323070707485</v>
      </c>
      <c r="C74">
        <v>1.6357759355411616E-2</v>
      </c>
      <c r="D74">
        <v>0.12672877635895943</v>
      </c>
    </row>
    <row r="75" spans="1:6" x14ac:dyDescent="0.3">
      <c r="A75">
        <v>10</v>
      </c>
      <c r="B75">
        <v>10.69016453608857</v>
      </c>
      <c r="C75">
        <v>-0.13690714296206608</v>
      </c>
      <c r="D75">
        <v>-1.0606632806738203</v>
      </c>
    </row>
    <row r="76" spans="1:6" x14ac:dyDescent="0.3">
      <c r="A76">
        <v>11</v>
      </c>
      <c r="B76">
        <v>11.260728149203782</v>
      </c>
      <c r="C76">
        <v>-0.28017545608764038</v>
      </c>
      <c r="D76">
        <v>-2.1706085744594072</v>
      </c>
    </row>
    <row r="77" spans="1:6" x14ac:dyDescent="0.3">
      <c r="A77">
        <v>12</v>
      </c>
      <c r="B77">
        <v>10.770935307368509</v>
      </c>
      <c r="C77">
        <v>-0.20682376597799568</v>
      </c>
      <c r="D77">
        <v>-1.6023296476526283</v>
      </c>
    </row>
    <row r="78" spans="1:6" x14ac:dyDescent="0.3">
      <c r="A78">
        <v>13</v>
      </c>
      <c r="B78">
        <v>10.887547385531121</v>
      </c>
      <c r="C78">
        <v>-5.4517295445091207E-2</v>
      </c>
      <c r="D78">
        <v>-0.4223628671900358</v>
      </c>
    </row>
    <row r="79" spans="1:6" x14ac:dyDescent="0.3">
      <c r="A79">
        <v>14</v>
      </c>
      <c r="B79">
        <v>10.616101955092638</v>
      </c>
      <c r="C79">
        <v>-8.2087583978232459E-2</v>
      </c>
      <c r="D79">
        <v>-0.63595868149161638</v>
      </c>
    </row>
    <row r="80" spans="1:6" x14ac:dyDescent="0.3">
      <c r="A80">
        <v>15</v>
      </c>
      <c r="B80">
        <v>10.992108565824861</v>
      </c>
      <c r="C80">
        <v>7.5092138373124229E-2</v>
      </c>
      <c r="D80">
        <v>0.58176273433533676</v>
      </c>
    </row>
    <row r="81" spans="1:35" x14ac:dyDescent="0.3">
      <c r="A81">
        <v>16</v>
      </c>
      <c r="B81">
        <v>11.365485679941379</v>
      </c>
      <c r="C81">
        <v>0.13649005494259292</v>
      </c>
      <c r="D81">
        <v>1.0574319668249386</v>
      </c>
    </row>
    <row r="82" spans="1:35" x14ac:dyDescent="0.3">
      <c r="A82">
        <v>17</v>
      </c>
      <c r="B82">
        <v>10.930729449737553</v>
      </c>
      <c r="C82">
        <v>0.15884693802595073</v>
      </c>
      <c r="D82">
        <v>1.2306378671438556</v>
      </c>
    </row>
    <row r="83" spans="1:35" x14ac:dyDescent="0.3">
      <c r="A83">
        <v>18</v>
      </c>
      <c r="B83">
        <v>10.999423608419319</v>
      </c>
      <c r="C83">
        <v>-3.9066324211871617E-2</v>
      </c>
      <c r="D83">
        <v>-0.30265926748549488</v>
      </c>
    </row>
    <row r="84" spans="1:35" x14ac:dyDescent="0.3">
      <c r="A84">
        <v>19</v>
      </c>
      <c r="B84">
        <v>10.825066476193873</v>
      </c>
      <c r="C84">
        <v>-0.14904309542872873</v>
      </c>
      <c r="D84">
        <v>-1.1546843732106686</v>
      </c>
    </row>
    <row r="85" spans="1:35" x14ac:dyDescent="0.3">
      <c r="A85">
        <v>20</v>
      </c>
      <c r="B85">
        <v>12.304700068555555</v>
      </c>
      <c r="C85">
        <v>5.3771723763071932E-2</v>
      </c>
      <c r="D85">
        <v>0.41658668569125762</v>
      </c>
    </row>
    <row r="86" spans="1:35" x14ac:dyDescent="0.3">
      <c r="A86">
        <v>21</v>
      </c>
      <c r="B86">
        <v>11.098528015649281</v>
      </c>
      <c r="C86">
        <v>1.8030824198042694E-2</v>
      </c>
      <c r="D86">
        <v>0.13969054304528053</v>
      </c>
    </row>
    <row r="87" spans="1:35" x14ac:dyDescent="0.3">
      <c r="A87">
        <v>22</v>
      </c>
      <c r="B87">
        <v>11.177509521665481</v>
      </c>
      <c r="C87">
        <v>0.14092058557908338</v>
      </c>
      <c r="D87">
        <v>1.0917567000591126</v>
      </c>
    </row>
    <row r="88" spans="1:35" x14ac:dyDescent="0.3">
      <c r="A88">
        <v>23</v>
      </c>
      <c r="B88">
        <v>10.508407825945927</v>
      </c>
      <c r="C88">
        <v>0.12751973308785303</v>
      </c>
      <c r="D88">
        <v>0.98793602379890721</v>
      </c>
    </row>
    <row r="89" spans="1:35" x14ac:dyDescent="0.3">
      <c r="A89">
        <v>24</v>
      </c>
      <c r="B89">
        <v>11.045442350851291</v>
      </c>
      <c r="C89">
        <v>2.9551630872939327E-2</v>
      </c>
      <c r="D89">
        <v>0.22894590503315371</v>
      </c>
    </row>
    <row r="90" spans="1:35" x14ac:dyDescent="0.3">
      <c r="A90">
        <v>25</v>
      </c>
      <c r="B90">
        <v>11.881834928549168</v>
      </c>
      <c r="C90">
        <v>-6.7672179532667798E-2</v>
      </c>
      <c r="D90">
        <v>-0.524277947815733</v>
      </c>
    </row>
    <row r="91" spans="1:35" x14ac:dyDescent="0.3">
      <c r="A91">
        <v>26</v>
      </c>
      <c r="B91">
        <v>12.500002385758361</v>
      </c>
      <c r="C91">
        <v>-8.1495327588996247E-2</v>
      </c>
      <c r="D91">
        <v>-0.63137028244087168</v>
      </c>
    </row>
    <row r="92" spans="1:35" x14ac:dyDescent="0.3">
      <c r="A92">
        <v>27</v>
      </c>
      <c r="B92">
        <v>11.44474340534922</v>
      </c>
      <c r="C92">
        <v>-7.1677887556463205E-2</v>
      </c>
      <c r="D92">
        <v>-0.55531144484165151</v>
      </c>
    </row>
    <row r="93" spans="1:35" x14ac:dyDescent="0.3">
      <c r="A93">
        <v>28</v>
      </c>
      <c r="B93">
        <v>10.380967850591722</v>
      </c>
      <c r="C93">
        <v>-9.6205428748646682E-2</v>
      </c>
      <c r="D93">
        <v>-0.74533412550610667</v>
      </c>
    </row>
    <row r="94" spans="1:35" x14ac:dyDescent="0.3">
      <c r="A94">
        <v>29</v>
      </c>
      <c r="B94">
        <v>11.321467009763644</v>
      </c>
      <c r="C94">
        <v>-0.2637275000220658</v>
      </c>
      <c r="D94">
        <v>-2.0431810154333232</v>
      </c>
      <c r="AI94" t="s">
        <v>86</v>
      </c>
    </row>
    <row r="95" spans="1:35" x14ac:dyDescent="0.3">
      <c r="A95">
        <v>30</v>
      </c>
      <c r="B95">
        <v>11.484111590437578</v>
      </c>
      <c r="C95">
        <v>-4.4552833963335203E-2</v>
      </c>
      <c r="D95">
        <v>-0.3451650075552346</v>
      </c>
      <c r="AI95" t="s">
        <v>87</v>
      </c>
    </row>
    <row r="96" spans="1:35" x14ac:dyDescent="0.3">
      <c r="A96">
        <v>31</v>
      </c>
      <c r="B96">
        <v>11.788924927566647</v>
      </c>
      <c r="C96">
        <v>-0.11224080188305052</v>
      </c>
      <c r="D96">
        <v>-0.86956527303854914</v>
      </c>
      <c r="AI96" t="s">
        <v>88</v>
      </c>
    </row>
    <row r="97" spans="1:35" x14ac:dyDescent="0.3">
      <c r="A97">
        <v>32</v>
      </c>
      <c r="B97">
        <v>10.474516152277422</v>
      </c>
      <c r="C97">
        <v>9.4644603817895856E-2</v>
      </c>
      <c r="D97">
        <v>0.73324191719768872</v>
      </c>
      <c r="AI97" t="s">
        <v>89</v>
      </c>
    </row>
    <row r="98" spans="1:35" ht="21" x14ac:dyDescent="0.4">
      <c r="A98">
        <v>33</v>
      </c>
      <c r="B98">
        <v>11.253002413165555</v>
      </c>
      <c r="C98">
        <v>-7.1125917352320656E-2</v>
      </c>
      <c r="D98">
        <v>-0.55103515570951878</v>
      </c>
      <c r="G98" s="10"/>
    </row>
    <row r="99" spans="1:35" x14ac:dyDescent="0.3">
      <c r="A99">
        <v>34</v>
      </c>
      <c r="B99">
        <v>11.742499050861548</v>
      </c>
      <c r="C99">
        <v>-5.0532403647508772E-2</v>
      </c>
      <c r="D99">
        <v>-0.39149064010452073</v>
      </c>
    </row>
    <row r="100" spans="1:35" ht="21" x14ac:dyDescent="0.4">
      <c r="A100">
        <v>35</v>
      </c>
      <c r="B100">
        <v>11.566482512564214</v>
      </c>
      <c r="C100">
        <v>-0.11589000278129369</v>
      </c>
      <c r="D100">
        <v>-0.89783679571316155</v>
      </c>
      <c r="G100" s="10"/>
    </row>
    <row r="101" spans="1:35" x14ac:dyDescent="0.3">
      <c r="A101">
        <v>36</v>
      </c>
      <c r="B101">
        <v>11.406854587228775</v>
      </c>
      <c r="C101">
        <v>6.0968903829033749E-2</v>
      </c>
      <c r="D101">
        <v>0.47234553402598939</v>
      </c>
    </row>
    <row r="102" spans="1:35" x14ac:dyDescent="0.3">
      <c r="A102">
        <v>37</v>
      </c>
      <c r="B102">
        <v>11.423910740661935</v>
      </c>
      <c r="C102">
        <v>-2.5801466787088501E-2</v>
      </c>
      <c r="D102">
        <v>-0.19989218835844524</v>
      </c>
      <c r="O102" s="9"/>
    </row>
    <row r="103" spans="1:35" x14ac:dyDescent="0.3">
      <c r="A103">
        <v>38</v>
      </c>
      <c r="B103">
        <v>11.530151104409395</v>
      </c>
      <c r="C103">
        <v>3.4408096991414894E-2</v>
      </c>
      <c r="D103">
        <v>0.26657049622874091</v>
      </c>
    </row>
    <row r="104" spans="1:35" x14ac:dyDescent="0.3">
      <c r="A104">
        <v>39</v>
      </c>
      <c r="B104">
        <v>10.77121824354675</v>
      </c>
      <c r="C104">
        <v>-0.10994343197022793</v>
      </c>
      <c r="D104">
        <v>-0.8517668159534364</v>
      </c>
    </row>
    <row r="105" spans="1:35" x14ac:dyDescent="0.3">
      <c r="A105">
        <v>40</v>
      </c>
      <c r="B105">
        <v>11.336231473484315</v>
      </c>
      <c r="C105">
        <v>-0.1297904087284838</v>
      </c>
      <c r="D105">
        <v>-1.0055276718475767</v>
      </c>
    </row>
    <row r="106" spans="1:35" x14ac:dyDescent="0.3">
      <c r="A106">
        <v>41</v>
      </c>
      <c r="B106">
        <v>11.17917804434734</v>
      </c>
      <c r="C106">
        <v>0.25789176831935201</v>
      </c>
      <c r="D106">
        <v>1.9979697415800104</v>
      </c>
    </row>
    <row r="107" spans="1:35" x14ac:dyDescent="0.3">
      <c r="A107">
        <v>42</v>
      </c>
      <c r="B107">
        <v>10.754314928431109</v>
      </c>
      <c r="C107">
        <v>9.2085812539281164E-2</v>
      </c>
      <c r="D107">
        <v>0.71341814545418658</v>
      </c>
    </row>
    <row r="108" spans="1:35" x14ac:dyDescent="0.3">
      <c r="A108">
        <v>43</v>
      </c>
      <c r="B108">
        <v>11.000838606480086</v>
      </c>
      <c r="C108">
        <v>-3.3589042711593464E-2</v>
      </c>
      <c r="D108">
        <v>-0.26022502161953048</v>
      </c>
    </row>
    <row r="109" spans="1:35" x14ac:dyDescent="0.3">
      <c r="A109">
        <v>44</v>
      </c>
      <c r="B109">
        <v>10.696857189080117</v>
      </c>
      <c r="C109">
        <v>4.7637047254809772E-2</v>
      </c>
      <c r="D109">
        <v>0.36905939112979813</v>
      </c>
    </row>
    <row r="110" spans="1:35" x14ac:dyDescent="0.3">
      <c r="A110">
        <v>45</v>
      </c>
      <c r="B110">
        <v>11.421648499716339</v>
      </c>
      <c r="C110">
        <v>0.10739634713377377</v>
      </c>
      <c r="D110">
        <v>0.8320337377492073</v>
      </c>
    </row>
    <row r="111" spans="1:35" x14ac:dyDescent="0.3">
      <c r="A111">
        <v>46</v>
      </c>
      <c r="B111">
        <v>10.629709502864637</v>
      </c>
      <c r="C111">
        <v>5.3148796980053703E-2</v>
      </c>
      <c r="D111">
        <v>0.41176067332257665</v>
      </c>
    </row>
    <row r="112" spans="1:35" x14ac:dyDescent="0.3">
      <c r="A112">
        <v>47</v>
      </c>
      <c r="B112">
        <v>10.739169655161264</v>
      </c>
      <c r="C112">
        <v>-0.13660255341208227</v>
      </c>
      <c r="D112">
        <v>-1.0583035283310642</v>
      </c>
    </row>
    <row r="113" spans="1:4" x14ac:dyDescent="0.3">
      <c r="A113">
        <v>48</v>
      </c>
      <c r="B113">
        <v>11.365096404796063</v>
      </c>
      <c r="C113">
        <v>-0.11086395159600038</v>
      </c>
      <c r="D113">
        <v>-0.85889837494351007</v>
      </c>
    </row>
    <row r="114" spans="1:4" x14ac:dyDescent="0.3">
      <c r="A114">
        <v>49</v>
      </c>
      <c r="B114">
        <v>10.487304548791526</v>
      </c>
      <c r="C114">
        <v>-0.24591720764300007</v>
      </c>
      <c r="D114">
        <v>-1.9051990026922203</v>
      </c>
    </row>
    <row r="115" spans="1:4" x14ac:dyDescent="0.3">
      <c r="A115">
        <v>50</v>
      </c>
      <c r="B115">
        <v>11.392106367749061</v>
      </c>
      <c r="C115">
        <v>-0.21431803105396874</v>
      </c>
      <c r="D115">
        <v>-1.6603901082666028</v>
      </c>
    </row>
    <row r="116" spans="1:4" x14ac:dyDescent="0.3">
      <c r="A116">
        <v>51</v>
      </c>
      <c r="B116">
        <v>11.297915103728998</v>
      </c>
      <c r="C116">
        <v>-0.1233336260127782</v>
      </c>
      <c r="D116">
        <v>-0.95550491781394775</v>
      </c>
    </row>
    <row r="117" spans="1:4" x14ac:dyDescent="0.3">
      <c r="A117">
        <v>52</v>
      </c>
      <c r="B117">
        <v>11.079505713814493</v>
      </c>
      <c r="C117">
        <v>-0.11666658656355722</v>
      </c>
      <c r="D117">
        <v>-0.90385323783877025</v>
      </c>
    </row>
    <row r="118" spans="1:4" x14ac:dyDescent="0.3">
      <c r="A118">
        <v>53</v>
      </c>
      <c r="B118">
        <v>11.530693237886071</v>
      </c>
      <c r="C118">
        <v>8.4499965031735513E-2</v>
      </c>
      <c r="D118">
        <v>0.65464816654757785</v>
      </c>
    </row>
    <row r="119" spans="1:4" x14ac:dyDescent="0.3">
      <c r="A119">
        <v>54</v>
      </c>
      <c r="B119">
        <v>11.314857938322566</v>
      </c>
      <c r="C119">
        <v>-6.9158537236736706E-2</v>
      </c>
      <c r="D119">
        <v>-0.53579323477990082</v>
      </c>
    </row>
    <row r="120" spans="1:4" x14ac:dyDescent="0.3">
      <c r="A120">
        <v>55</v>
      </c>
      <c r="B120">
        <v>10.762329999599247</v>
      </c>
      <c r="C120">
        <v>-0.17566984765037752</v>
      </c>
      <c r="D120">
        <v>-1.3609703109204943</v>
      </c>
    </row>
    <row r="121" spans="1:4" x14ac:dyDescent="0.3">
      <c r="A121">
        <v>56</v>
      </c>
      <c r="B121">
        <v>11.028893786744588</v>
      </c>
      <c r="C121">
        <v>0.23576260813069538</v>
      </c>
      <c r="D121">
        <v>1.8265280831213242</v>
      </c>
    </row>
    <row r="122" spans="1:4" x14ac:dyDescent="0.3">
      <c r="A122">
        <v>57</v>
      </c>
      <c r="B122">
        <v>11.570442338951555</v>
      </c>
      <c r="C122">
        <v>3.5053191499935465E-2</v>
      </c>
      <c r="D122">
        <v>0.27156824903365978</v>
      </c>
    </row>
    <row r="123" spans="1:4" x14ac:dyDescent="0.3">
      <c r="A123">
        <v>58</v>
      </c>
      <c r="B123">
        <v>10.958845539099572</v>
      </c>
      <c r="C123">
        <v>-0.10325619395367092</v>
      </c>
      <c r="D123">
        <v>-0.79995865123807641</v>
      </c>
    </row>
    <row r="124" spans="1:4" x14ac:dyDescent="0.3">
      <c r="A124">
        <v>59</v>
      </c>
      <c r="B124">
        <v>10.57643678103255</v>
      </c>
      <c r="C124">
        <v>-7.4524900251363491E-2</v>
      </c>
      <c r="D124">
        <v>-0.5773681597782101</v>
      </c>
    </row>
    <row r="125" spans="1:4" x14ac:dyDescent="0.3">
      <c r="A125">
        <v>60</v>
      </c>
      <c r="B125">
        <v>11.070614151026723</v>
      </c>
      <c r="C125">
        <v>-2.0915331023205752E-2</v>
      </c>
      <c r="D125">
        <v>-0.16203773696160667</v>
      </c>
    </row>
    <row r="126" spans="1:4" x14ac:dyDescent="0.3">
      <c r="A126">
        <v>61</v>
      </c>
      <c r="B126">
        <v>10.875233744384396</v>
      </c>
      <c r="C126">
        <v>1.3921337803708411E-2</v>
      </c>
      <c r="D126">
        <v>0.10785304189965551</v>
      </c>
    </row>
    <row r="127" spans="1:4" x14ac:dyDescent="0.3">
      <c r="A127">
        <v>62</v>
      </c>
      <c r="B127">
        <v>10.795276215959966</v>
      </c>
      <c r="C127">
        <v>-7.6699452560333725E-3</v>
      </c>
      <c r="D127">
        <v>-5.942151097336866E-2</v>
      </c>
    </row>
    <row r="128" spans="1:4" x14ac:dyDescent="0.3">
      <c r="A128">
        <v>63</v>
      </c>
      <c r="B128">
        <v>11.065582136545176</v>
      </c>
      <c r="C128">
        <v>5.8248493230209419E-2</v>
      </c>
      <c r="D128">
        <v>0.45126964588676838</v>
      </c>
    </row>
    <row r="129" spans="1:7" x14ac:dyDescent="0.3">
      <c r="A129">
        <v>64</v>
      </c>
      <c r="B129">
        <v>11.506615882320032</v>
      </c>
      <c r="C129">
        <v>-0.14487383718383384</v>
      </c>
      <c r="D129">
        <v>-1.1223838004842925</v>
      </c>
    </row>
    <row r="130" spans="1:7" x14ac:dyDescent="0.3">
      <c r="A130">
        <v>65</v>
      </c>
      <c r="B130">
        <v>10.534695521850423</v>
      </c>
      <c r="C130">
        <v>0.28636194405824078</v>
      </c>
      <c r="D130">
        <v>2.2185372689363949</v>
      </c>
    </row>
    <row r="131" spans="1:7" x14ac:dyDescent="0.3">
      <c r="A131">
        <v>66</v>
      </c>
      <c r="B131">
        <v>10.783158119742737</v>
      </c>
      <c r="C131">
        <v>0.11434017697143695</v>
      </c>
      <c r="D131">
        <v>0.8858298011006811</v>
      </c>
    </row>
    <row r="132" spans="1:7" x14ac:dyDescent="0.3">
      <c r="A132">
        <v>67</v>
      </c>
      <c r="B132">
        <v>11.550949653259011</v>
      </c>
      <c r="C132">
        <v>7.1332332694391098E-2</v>
      </c>
      <c r="D132">
        <v>0.55263432116695954</v>
      </c>
    </row>
    <row r="133" spans="1:7" x14ac:dyDescent="0.3">
      <c r="A133">
        <v>68</v>
      </c>
      <c r="B133">
        <v>10.945996681983633</v>
      </c>
      <c r="C133">
        <v>6.7636395034277541E-2</v>
      </c>
      <c r="D133">
        <v>0.52400071389908931</v>
      </c>
    </row>
    <row r="134" spans="1:7" x14ac:dyDescent="0.3">
      <c r="A134">
        <v>69</v>
      </c>
      <c r="B134">
        <v>11.677387909995671</v>
      </c>
      <c r="C134">
        <v>0.21717434355014298</v>
      </c>
      <c r="D134">
        <v>1.6825188717282817</v>
      </c>
    </row>
    <row r="135" spans="1:7" ht="14.4" customHeight="1" x14ac:dyDescent="0.4">
      <c r="A135">
        <v>70</v>
      </c>
      <c r="B135">
        <v>11.76340635631226</v>
      </c>
      <c r="C135">
        <v>6.8917847661317921E-2</v>
      </c>
      <c r="D135">
        <v>0.53392853591054812</v>
      </c>
      <c r="G135" s="10"/>
    </row>
    <row r="136" spans="1:7" x14ac:dyDescent="0.3">
      <c r="A136">
        <v>71</v>
      </c>
      <c r="B136">
        <v>11.22667783465176</v>
      </c>
      <c r="C136">
        <v>2.7813632225672791E-2</v>
      </c>
      <c r="D136">
        <v>0.21548107546230247</v>
      </c>
    </row>
    <row r="137" spans="1:7" x14ac:dyDescent="0.3">
      <c r="A137">
        <v>72</v>
      </c>
      <c r="B137">
        <v>10.927283138691427</v>
      </c>
      <c r="C137">
        <v>-9.6485787798711087E-2</v>
      </c>
      <c r="D137">
        <v>-0.74750615644163143</v>
      </c>
    </row>
    <row r="138" spans="1:7" x14ac:dyDescent="0.3">
      <c r="A138">
        <v>73</v>
      </c>
      <c r="B138">
        <v>10.703389885296206</v>
      </c>
      <c r="C138">
        <v>-9.4307941148377594E-2</v>
      </c>
      <c r="D138">
        <v>-0.73063368417342223</v>
      </c>
    </row>
    <row r="139" spans="1:7" x14ac:dyDescent="0.3">
      <c r="A139">
        <v>74</v>
      </c>
      <c r="B139">
        <v>10.984171892632695</v>
      </c>
      <c r="C139">
        <v>-5.1958178892624218E-2</v>
      </c>
      <c r="D139">
        <v>-0.40253657544630694</v>
      </c>
    </row>
    <row r="140" spans="1:7" x14ac:dyDescent="0.3">
      <c r="A140">
        <v>75</v>
      </c>
      <c r="B140">
        <v>12.258990865035212</v>
      </c>
      <c r="C140">
        <v>-8.8825229043596465E-2</v>
      </c>
      <c r="D140">
        <v>-0.68815736568316987</v>
      </c>
    </row>
    <row r="141" spans="1:7" x14ac:dyDescent="0.3">
      <c r="A141">
        <v>76</v>
      </c>
      <c r="B141">
        <v>11.102973858367053</v>
      </c>
      <c r="C141">
        <v>-5.8804800747243036E-2</v>
      </c>
      <c r="D141">
        <v>-0.455579537564545</v>
      </c>
    </row>
    <row r="142" spans="1:7" x14ac:dyDescent="0.3">
      <c r="A142">
        <v>77</v>
      </c>
      <c r="B142">
        <v>11.809568025638093</v>
      </c>
      <c r="C142">
        <v>2.6816803159437796E-2</v>
      </c>
      <c r="D142">
        <v>0.20775832291054711</v>
      </c>
    </row>
    <row r="143" spans="1:7" x14ac:dyDescent="0.3">
      <c r="A143">
        <v>78</v>
      </c>
      <c r="B143">
        <v>11.111475507444121</v>
      </c>
      <c r="C143">
        <v>5.4371675117669938E-2</v>
      </c>
      <c r="D143">
        <v>0.4212347000917111</v>
      </c>
    </row>
    <row r="144" spans="1:7" x14ac:dyDescent="0.3">
      <c r="A144">
        <v>79</v>
      </c>
      <c r="B144">
        <v>11.080694910471369</v>
      </c>
      <c r="C144">
        <v>0.31841214929864137</v>
      </c>
      <c r="D144">
        <v>2.4668404261060077</v>
      </c>
    </row>
    <row r="145" spans="1:4" x14ac:dyDescent="0.3">
      <c r="A145">
        <v>80</v>
      </c>
      <c r="B145">
        <v>11.202181880048133</v>
      </c>
      <c r="C145">
        <v>2.7907756279539342E-3</v>
      </c>
      <c r="D145">
        <v>2.1621028451308279E-2</v>
      </c>
    </row>
    <row r="146" spans="1:4" x14ac:dyDescent="0.3">
      <c r="A146">
        <v>81</v>
      </c>
      <c r="B146">
        <v>11.404201414276441</v>
      </c>
      <c r="C146">
        <v>3.632538607200253E-2</v>
      </c>
      <c r="D146">
        <v>0.28142434594189752</v>
      </c>
    </row>
    <row r="147" spans="1:4" x14ac:dyDescent="0.3">
      <c r="A147">
        <v>82</v>
      </c>
      <c r="B147">
        <v>10.866075626487309</v>
      </c>
      <c r="C147">
        <v>0.18024841516558254</v>
      </c>
      <c r="D147">
        <v>1.3964419330462259</v>
      </c>
    </row>
    <row r="148" spans="1:4" x14ac:dyDescent="0.3">
      <c r="A148">
        <v>83</v>
      </c>
      <c r="B148">
        <v>11.048595258132456</v>
      </c>
      <c r="C148">
        <v>-7.6490814463619827E-2</v>
      </c>
      <c r="D148">
        <v>-0.59259872388743884</v>
      </c>
    </row>
    <row r="149" spans="1:4" x14ac:dyDescent="0.3">
      <c r="A149">
        <v>84</v>
      </c>
      <c r="B149">
        <v>11.846628570604203</v>
      </c>
      <c r="C149">
        <v>-0.15828029053117731</v>
      </c>
      <c r="D149">
        <v>-1.2262478683622835</v>
      </c>
    </row>
    <row r="150" spans="1:4" x14ac:dyDescent="0.3">
      <c r="A150">
        <v>85</v>
      </c>
      <c r="B150">
        <v>11.768244751251602</v>
      </c>
      <c r="C150">
        <v>0.24307134240824624</v>
      </c>
      <c r="D150">
        <v>1.8831511774952112</v>
      </c>
    </row>
    <row r="151" spans="1:4" x14ac:dyDescent="0.3">
      <c r="A151">
        <v>86</v>
      </c>
      <c r="B151">
        <v>11.725275074410181</v>
      </c>
      <c r="C151">
        <v>-3.486473053752448E-2</v>
      </c>
      <c r="D151">
        <v>-0.27010818187905433</v>
      </c>
    </row>
    <row r="152" spans="1:4" x14ac:dyDescent="0.3">
      <c r="A152">
        <v>87</v>
      </c>
      <c r="B152">
        <v>9.978075155301374</v>
      </c>
      <c r="C152">
        <v>7.7059946843894167E-2</v>
      </c>
      <c r="D152">
        <v>0.5970079738691344</v>
      </c>
    </row>
    <row r="153" spans="1:4" x14ac:dyDescent="0.3">
      <c r="A153">
        <v>88</v>
      </c>
      <c r="B153">
        <v>11.285156504064684</v>
      </c>
      <c r="C153">
        <v>3.9871889778403613E-2</v>
      </c>
      <c r="D153">
        <v>0.30890024073283257</v>
      </c>
    </row>
    <row r="154" spans="1:4" x14ac:dyDescent="0.3">
      <c r="A154">
        <v>89</v>
      </c>
      <c r="B154">
        <v>10.613985411487292</v>
      </c>
      <c r="C154">
        <v>8.3354015730414233E-2</v>
      </c>
      <c r="D154">
        <v>0.64577013199709365</v>
      </c>
    </row>
    <row r="155" spans="1:4" x14ac:dyDescent="0.3">
      <c r="A155">
        <v>90</v>
      </c>
      <c r="B155">
        <v>11.119538782783325</v>
      </c>
      <c r="C155">
        <v>0.15185000975580287</v>
      </c>
      <c r="D155">
        <v>1.1764304333088604</v>
      </c>
    </row>
    <row r="156" spans="1:4" x14ac:dyDescent="0.3">
      <c r="A156">
        <v>91</v>
      </c>
      <c r="B156">
        <v>11.857121102466955</v>
      </c>
      <c r="C156">
        <v>-0.14288878079169187</v>
      </c>
      <c r="D156">
        <v>-1.1070049358052216</v>
      </c>
    </row>
    <row r="157" spans="1:4" x14ac:dyDescent="0.3">
      <c r="A157">
        <v>92</v>
      </c>
      <c r="B157">
        <v>11.211688613266418</v>
      </c>
      <c r="C157">
        <v>8.7176919122644136E-2</v>
      </c>
      <c r="D157">
        <v>0.6753873832666285</v>
      </c>
    </row>
    <row r="158" spans="1:4" x14ac:dyDescent="0.3">
      <c r="A158">
        <v>93</v>
      </c>
      <c r="B158">
        <v>11.07693146217523</v>
      </c>
      <c r="C158">
        <v>1.5176649732161707E-2</v>
      </c>
      <c r="D158">
        <v>0.11757834358585877</v>
      </c>
    </row>
    <row r="159" spans="1:4" x14ac:dyDescent="0.3">
      <c r="A159">
        <v>94</v>
      </c>
      <c r="B159">
        <v>10.700716661082481</v>
      </c>
      <c r="C159">
        <v>-1.9235392576289811E-2</v>
      </c>
      <c r="D159">
        <v>-0.14902271827167859</v>
      </c>
    </row>
    <row r="160" spans="1:4" x14ac:dyDescent="0.3">
      <c r="A160">
        <v>95</v>
      </c>
      <c r="B160">
        <v>11.340668169946523</v>
      </c>
      <c r="C160">
        <v>-6.5987203825745411E-2</v>
      </c>
      <c r="D160">
        <v>-0.51122390386672456</v>
      </c>
    </row>
    <row r="161" spans="1:4" x14ac:dyDescent="0.3">
      <c r="A161">
        <v>96</v>
      </c>
      <c r="B161">
        <v>11.566858549171302</v>
      </c>
      <c r="C161">
        <v>0.16578861926383581</v>
      </c>
      <c r="D161">
        <v>1.2844172846079038</v>
      </c>
    </row>
    <row r="162" spans="1:4" x14ac:dyDescent="0.3">
      <c r="A162">
        <v>97</v>
      </c>
      <c r="B162">
        <v>10.816605549789712</v>
      </c>
      <c r="C162">
        <v>-0.16179625264256536</v>
      </c>
      <c r="D162">
        <v>-1.253487147680405</v>
      </c>
    </row>
    <row r="163" spans="1:4" x14ac:dyDescent="0.3">
      <c r="A163">
        <v>98</v>
      </c>
      <c r="B163">
        <v>10.747542175504593</v>
      </c>
      <c r="C163">
        <v>-2.1327596872625421E-2</v>
      </c>
      <c r="D163">
        <v>-0.16523169192184131</v>
      </c>
    </row>
    <row r="164" spans="1:4" x14ac:dyDescent="0.3">
      <c r="A164">
        <v>99</v>
      </c>
      <c r="B164">
        <v>11.235357563156562</v>
      </c>
      <c r="C164">
        <v>0.32697692207120888</v>
      </c>
      <c r="D164">
        <v>2.533194451108884</v>
      </c>
    </row>
    <row r="165" spans="1:4" ht="15" thickBot="1" x14ac:dyDescent="0.35">
      <c r="A165" s="1">
        <v>100</v>
      </c>
      <c r="B165" s="1">
        <v>11.675259573090283</v>
      </c>
      <c r="C165" s="1">
        <v>-0.11516430364366492</v>
      </c>
      <c r="D165" s="1">
        <v>-0.89221457315087516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Dashboard</vt:lpstr>
      <vt:lpstr>Model_1_Quantitative</vt:lpstr>
      <vt:lpstr>Model_2_Full</vt:lpstr>
      <vt:lpstr>Model_3_Improved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 JIA BAO</dc:creator>
  <cp:lastModifiedBy>CHUN JIA BAO</cp:lastModifiedBy>
  <dcterms:created xsi:type="dcterms:W3CDTF">2026-01-03T13:31:49Z</dcterms:created>
  <dcterms:modified xsi:type="dcterms:W3CDTF">2026-08-25T12:19:16Z</dcterms:modified>
</cp:coreProperties>
</file>